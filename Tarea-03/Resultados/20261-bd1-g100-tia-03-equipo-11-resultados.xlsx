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rit\Downloads\"/>
    </mc:Choice>
  </mc:AlternateContent>
  <xr:revisionPtr revIDLastSave="0" documentId="13_ncr:1_{AC0CE453-1998-4C91-A71A-3B9E568C1681}" xr6:coauthVersionLast="47" xr6:coauthVersionMax="47" xr10:uidLastSave="{00000000-0000-0000-0000-000000000000}"/>
  <bookViews>
    <workbookView xWindow="13550" yWindow="-6030" windowWidth="38620" windowHeight="21220" xr2:uid="{00000000-000D-0000-FFFF-FFFF00000000}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4" r:id="rId4"/>
  </sheets>
  <calcPr calcId="191029"/>
  <extLst>
    <ext uri="GoogleSheetsCustomDataVersion2">
      <go:sheetsCustomData xmlns:go="http://customooxmlschemas.google.com/" r:id="rId8" roundtripDataChecksum="2Mhku3sooXbxOy/1k/qHRqkhbiV4dCpaKsbBzIOncyM="/>
    </ext>
  </extLst>
</workbook>
</file>

<file path=xl/calcChain.xml><?xml version="1.0" encoding="utf-8"?>
<calcChain xmlns="http://schemas.openxmlformats.org/spreadsheetml/2006/main">
  <c r="C34" i="4" l="1"/>
  <c r="G266" i="4" s="1"/>
  <c r="B34" i="4"/>
  <c r="C266" i="4" s="1"/>
  <c r="C33" i="4"/>
  <c r="G257" i="4" s="1"/>
  <c r="B33" i="4"/>
  <c r="C257" i="4" s="1"/>
  <c r="C32" i="4"/>
  <c r="G248" i="4" s="1"/>
  <c r="B32" i="4"/>
  <c r="C248" i="4" s="1"/>
  <c r="C31" i="4"/>
  <c r="G241" i="4" s="1"/>
  <c r="B31" i="4"/>
  <c r="C241" i="4" s="1"/>
  <c r="C30" i="4"/>
  <c r="G235" i="4" s="1"/>
  <c r="B30" i="4"/>
  <c r="C235" i="4" s="1"/>
  <c r="C29" i="4"/>
  <c r="G224" i="4" s="1"/>
  <c r="B29" i="4"/>
  <c r="C224" i="4" s="1"/>
  <c r="C28" i="4"/>
  <c r="G216" i="4" s="1"/>
  <c r="B28" i="4"/>
  <c r="C216" i="4" s="1"/>
  <c r="C27" i="4"/>
  <c r="G209" i="4" s="1"/>
  <c r="B27" i="4"/>
  <c r="C209" i="4" s="1"/>
  <c r="C26" i="4"/>
  <c r="G199" i="4" s="1"/>
  <c r="B26" i="4"/>
  <c r="C199" i="4" s="1"/>
  <c r="C25" i="4"/>
  <c r="G191" i="4" s="1"/>
  <c r="B25" i="4"/>
  <c r="C191" i="4" s="1"/>
  <c r="C24" i="4"/>
  <c r="G182" i="4" s="1"/>
  <c r="B24" i="4"/>
  <c r="C182" i="4" s="1"/>
  <c r="C23" i="4"/>
  <c r="G175" i="4" s="1"/>
  <c r="B23" i="4"/>
  <c r="C175" i="4" s="1"/>
  <c r="C22" i="4"/>
  <c r="G165" i="4" s="1"/>
  <c r="B22" i="4"/>
  <c r="C165" i="4" s="1"/>
  <c r="C21" i="4"/>
  <c r="G158" i="4" s="1"/>
  <c r="B21" i="4"/>
  <c r="C158" i="4" s="1"/>
  <c r="C20" i="4"/>
  <c r="G146" i="4" s="1"/>
  <c r="B20" i="4"/>
  <c r="C146" i="4" s="1"/>
  <c r="C19" i="4"/>
  <c r="G138" i="4" s="1"/>
  <c r="B19" i="4"/>
  <c r="C138" i="4" s="1"/>
  <c r="C18" i="4"/>
  <c r="G128" i="4" s="1"/>
  <c r="B18" i="4"/>
  <c r="C128" i="4" s="1"/>
  <c r="C17" i="4"/>
  <c r="G122" i="4" s="1"/>
  <c r="B17" i="4"/>
  <c r="C122" i="4" s="1"/>
  <c r="C16" i="4"/>
  <c r="G117" i="4" s="1"/>
  <c r="B16" i="4"/>
  <c r="C117" i="4" s="1"/>
  <c r="C15" i="4"/>
  <c r="G112" i="4" s="1"/>
  <c r="B15" i="4"/>
  <c r="C112" i="4" s="1"/>
  <c r="C14" i="4"/>
  <c r="G106" i="4" s="1"/>
  <c r="B14" i="4"/>
  <c r="C106" i="4" s="1"/>
  <c r="C13" i="4"/>
  <c r="G98" i="4" s="1"/>
  <c r="B13" i="4"/>
  <c r="C98" i="4" s="1"/>
  <c r="C12" i="4"/>
  <c r="G91" i="4" s="1"/>
  <c r="B12" i="4"/>
  <c r="C91" i="4" s="1"/>
  <c r="C11" i="4"/>
  <c r="G84" i="4" s="1"/>
  <c r="B11" i="4"/>
  <c r="C84" i="4" s="1"/>
  <c r="C10" i="4"/>
  <c r="G77" i="4" s="1"/>
  <c r="B10" i="4"/>
  <c r="C77" i="4" s="1"/>
  <c r="C9" i="4"/>
  <c r="G65" i="4" s="1"/>
  <c r="B9" i="4"/>
  <c r="C65" i="4" s="1"/>
  <c r="C8" i="4"/>
  <c r="G57" i="4" s="1"/>
  <c r="B8" i="4"/>
  <c r="C57" i="4" s="1"/>
  <c r="C7" i="4"/>
  <c r="G51" i="4" s="1"/>
  <c r="B7" i="4"/>
  <c r="C51" i="4" s="1"/>
  <c r="C6" i="4"/>
  <c r="G45" i="4" s="1"/>
  <c r="B6" i="4"/>
  <c r="C45" i="4" s="1"/>
  <c r="C5" i="4"/>
  <c r="G37" i="4" s="1"/>
  <c r="B5" i="4"/>
  <c r="C37" i="4" s="1"/>
</calcChain>
</file>

<file path=xl/sharedStrings.xml><?xml version="1.0" encoding="utf-8"?>
<sst xmlns="http://schemas.openxmlformats.org/spreadsheetml/2006/main" count="1552" uniqueCount="399">
  <si>
    <t>Tablas resultantes del Diccionario Genérico (Modelo Lógico)</t>
  </si>
  <si>
    <t>#</t>
  </si>
  <si>
    <t>Tabla</t>
  </si>
  <si>
    <t>Descripción Tabla</t>
  </si>
  <si>
    <t>Observaciones</t>
  </si>
  <si>
    <t>programa_academico</t>
  </si>
  <si>
    <t>Catálogo de programas académicos ofrecidos por la institución</t>
  </si>
  <si>
    <t>PK: id_programa | UK: codigo</t>
  </si>
  <si>
    <t>habilidad</t>
  </si>
  <si>
    <t>Catálogo de habilidades que los usuarios pueden asociar a su perfil</t>
  </si>
  <si>
    <t>PK: id_habilidad | UK: nombre</t>
  </si>
  <si>
    <t>interes</t>
  </si>
  <si>
    <t>Catálogo de áreas de interés disponibles para los usuarios</t>
  </si>
  <si>
    <t>PK: id_interes | UK: nombre</t>
  </si>
  <si>
    <t>empresa</t>
  </si>
  <si>
    <t>Empresas registradas en la plataforma para publicar ofertas laborales</t>
  </si>
  <si>
    <t>PK: id_empresa</t>
  </si>
  <si>
    <t>usuario</t>
  </si>
  <si>
    <t>Supertipo que agrupa a todos los tipos de usuarios de la red social</t>
  </si>
  <si>
    <t>PK: id_usuario | UK: email</t>
  </si>
  <si>
    <t>estudiante</t>
  </si>
  <si>
    <t>Subtipo de usuario: estudiante activo de la institución</t>
  </si>
  <si>
    <t>PK: id_usuario | FK: id_usuario, id_programa</t>
  </si>
  <si>
    <t>docente</t>
  </si>
  <si>
    <t>Subtipo de usuario: docente vinculado a la institución</t>
  </si>
  <si>
    <t>PK: id_usuario | FK: id_usuario</t>
  </si>
  <si>
    <t>empleado</t>
  </si>
  <si>
    <t>Subtipo de usuario: empleado administrativo de la institución</t>
  </si>
  <si>
    <t>egresado</t>
  </si>
  <si>
    <t>Subtipo de usuario: graduado de la institución</t>
  </si>
  <si>
    <t>publico_general</t>
  </si>
  <si>
    <t>Subtipo de usuario: persona externa sin vínculo institucional formal</t>
  </si>
  <si>
    <t>usuario_habilidad</t>
  </si>
  <si>
    <t>Tabla pivote N:M entre usuario y habilidad</t>
  </si>
  <si>
    <t>PK compuesta: id_usuario + id_habilidad</t>
  </si>
  <si>
    <t>usuario_interes</t>
  </si>
  <si>
    <t>Tabla pivote N:M entre usuario y área de interés</t>
  </si>
  <si>
    <t>PK compuesta: id_usuario + id_interes</t>
  </si>
  <si>
    <t>seguimiento</t>
  </si>
  <si>
    <t>Relación reflexiva N:M que modela el seguimiento entre usuarios</t>
  </si>
  <si>
    <t>PK compuesta: id_seguidor + id_seguido</t>
  </si>
  <si>
    <t>grupo</t>
  </si>
  <si>
    <t>Grupos creados por usuarios para organizar actividades colectivas</t>
  </si>
  <si>
    <t>PK: id_grupo | FK: id_creador</t>
  </si>
  <si>
    <t>miembro_grupo</t>
  </si>
  <si>
    <t>Tabla pivote N:M entre usuario y grupo con rol del miembro</t>
  </si>
  <si>
    <t>PK compuesta: id_usuario + id_grupo</t>
  </si>
  <si>
    <t>evento</t>
  </si>
  <si>
    <t>Eventos académicos o sociales creados dentro de la plataforma</t>
  </si>
  <si>
    <t>PK: id_evento | FK: id_creador, id_grupo</t>
  </si>
  <si>
    <t>asistencia_evento</t>
  </si>
  <si>
    <t>Registro de asistencia o confirmación de usuarios a eventos</t>
  </si>
  <si>
    <t>PK compuesta: id_usuario + id_evento</t>
  </si>
  <si>
    <t>publicacion</t>
  </si>
  <si>
    <t>Publicaciones realizadas por usuarios en el feed de la red social</t>
  </si>
  <si>
    <t>PK: id_publicacion | FK: id_usuario, id_grupo</t>
  </si>
  <si>
    <t>publicacion_multimedia</t>
  </si>
  <si>
    <t>Archivos multimedia adjuntos a una publicación</t>
  </si>
  <si>
    <t>PK: id_multimedia | FK: id_publicacion</t>
  </si>
  <si>
    <t>comentario</t>
  </si>
  <si>
    <t>Comentarios realizados por usuarios sobre publicaciones</t>
  </si>
  <si>
    <t>PK: id_comentario | FK: id_usuario, id_publicacion, id_padre</t>
  </si>
  <si>
    <t>reaccion</t>
  </si>
  <si>
    <t>Reacciones de usuarios a publicaciones (like, love, etc.)</t>
  </si>
  <si>
    <t>PK: id_reaccion | UK: (id_usuario, id_publicacion)</t>
  </si>
  <si>
    <t>producto</t>
  </si>
  <si>
    <t>Productos o servicios publicados en el marketplace de la plataforma</t>
  </si>
  <si>
    <t>PK: id_producto | FK: id_vendedor</t>
  </si>
  <si>
    <t>producto_foto</t>
  </si>
  <si>
    <t>Fotografías asociadas a un producto del marketplace</t>
  </si>
  <si>
    <t>PK: id_foto | FK: id_producto</t>
  </si>
  <si>
    <t>intercambio</t>
  </si>
  <si>
    <t>Registro de transacciones de compra o intercambio de productos</t>
  </si>
  <si>
    <t>PK: id_intercambio | FK: id_producto, id_comprador</t>
  </si>
  <si>
    <t>oferta_laboral</t>
  </si>
  <si>
    <t>Ofertas de trabajo publicadas por empresas registradas</t>
  </si>
  <si>
    <t>PK: id_oferta | FK: id_empresa</t>
  </si>
  <si>
    <t>oferta_requisito</t>
  </si>
  <si>
    <t>Requisitos específicos asociados a una oferta laboral</t>
  </si>
  <si>
    <t>PK: id_requisito | FK: id_oferta</t>
  </si>
  <si>
    <t>postulacion</t>
  </si>
  <si>
    <t>Postulaciones de usuarios a ofertas laborales</t>
  </si>
  <si>
    <t>PK compuesta: id_usuario + id_oferta</t>
  </si>
  <si>
    <t>mensaje</t>
  </si>
  <si>
    <t>Mensajes directos intercambiados entre usuarios de la plataforma</t>
  </si>
  <si>
    <t>PK: id_mensaje | FK: id_emisor, id_receptor</t>
  </si>
  <si>
    <t>notificacion</t>
  </si>
  <si>
    <t>Notificaciones generadas por el sistema para informar eventos al usuario</t>
  </si>
  <si>
    <t>PK: id_notificacion | FK: id_usuario</t>
  </si>
  <si>
    <t>reporte</t>
  </si>
  <si>
    <t>Reportes de contenido inapropiado realizados por usuarios</t>
  </si>
  <si>
    <t>PK: id_reporte | FK: id_reportante</t>
  </si>
  <si>
    <t>Tipos de Datos - Tabla Comparativa</t>
  </si>
  <si>
    <t>Tipo de Dato Genérico</t>
  </si>
  <si>
    <t>Tipos de Dato - PosgreSQL</t>
  </si>
  <si>
    <t>AUTOINCREMENTABLE</t>
  </si>
  <si>
    <t>SERIAL</t>
  </si>
  <si>
    <t>UUID</t>
  </si>
  <si>
    <t>ENTERO</t>
  </si>
  <si>
    <t>INT / SMALLINT</t>
  </si>
  <si>
    <t>DECIMAL</t>
  </si>
  <si>
    <t>NUMERIC(p,s)</t>
  </si>
  <si>
    <t>LÓGICO</t>
  </si>
  <si>
    <t>BOOLEAN</t>
  </si>
  <si>
    <t>TEXTO</t>
  </si>
  <si>
    <t>TEXT</t>
  </si>
  <si>
    <t>CARACTER</t>
  </si>
  <si>
    <t>VARCHAR(n)</t>
  </si>
  <si>
    <t>FECHA</t>
  </si>
  <si>
    <t>DATE</t>
  </si>
  <si>
    <t>FECHA_HORA</t>
  </si>
  <si>
    <t>TIMESTAMP</t>
  </si>
  <si>
    <t>IMAGEN</t>
  </si>
  <si>
    <t>VARCHAR(255) — URL externa</t>
  </si>
  <si>
    <t>AUDIO</t>
  </si>
  <si>
    <t>URL</t>
  </si>
  <si>
    <t>VARCHAR(255)</t>
  </si>
  <si>
    <t>ENUM</t>
  </si>
  <si>
    <t>VARCHAR(n) con CHECK</t>
  </si>
  <si>
    <t>TEXTO_CORTO (opcional)</t>
  </si>
  <si>
    <t>CHAR(n)</t>
  </si>
  <si>
    <t>BINARIO (opcional)</t>
  </si>
  <si>
    <t>BYTEA</t>
  </si>
  <si>
    <t>JSON</t>
  </si>
  <si>
    <t>JSONB</t>
  </si>
  <si>
    <t>DICCIONARIO DE DATOS FÍSICO — Red Social Estudiantil Pascualina</t>
  </si>
  <si>
    <t>INVENTARIO DE TABLAS</t>
  </si>
  <si>
    <t>TABLAS EN DETALLE</t>
  </si>
  <si>
    <t>Versión</t>
  </si>
  <si>
    <t>Campo</t>
  </si>
  <si>
    <t>Descripción Campo</t>
  </si>
  <si>
    <t>Tipo Genérico</t>
  </si>
  <si>
    <t>Tipo PostgreSQL</t>
  </si>
  <si>
    <t>Tamaño</t>
  </si>
  <si>
    <t>Nulo</t>
  </si>
  <si>
    <t>PK</t>
  </si>
  <si>
    <t>FK</t>
  </si>
  <si>
    <t>UK</t>
  </si>
  <si>
    <t>Nota/Comentarios</t>
  </si>
  <si>
    <t>id_programa</t>
  </si>
  <si>
    <t>Identificador único del programa</t>
  </si>
  <si>
    <t>No</t>
  </si>
  <si>
    <t>S</t>
  </si>
  <si>
    <t>PK autoincremental</t>
  </si>
  <si>
    <t>codigo</t>
  </si>
  <si>
    <t>Código institucional del programa</t>
  </si>
  <si>
    <t>VARCHAR(20)</t>
  </si>
  <si>
    <t>Valor único</t>
  </si>
  <si>
    <t>nombre</t>
  </si>
  <si>
    <t>Nombre completo del programa académico</t>
  </si>
  <si>
    <t>VARCHAR(150)</t>
  </si>
  <si>
    <t>facultad</t>
  </si>
  <si>
    <t>Facultad a la que pertenece el programa</t>
  </si>
  <si>
    <t>VARCHAR(100)</t>
  </si>
  <si>
    <t>nivel</t>
  </si>
  <si>
    <t>Nivel académico (pregrado, posgrado, etc)</t>
  </si>
  <si>
    <t>VARCHAR(50)</t>
  </si>
  <si>
    <t>id_habilidad</t>
  </si>
  <si>
    <t>Identificador único de la habilidad</t>
  </si>
  <si>
    <t>Nombre de la habilidad</t>
  </si>
  <si>
    <t>categoria</t>
  </si>
  <si>
    <t>Categoría temática de la habilidad</t>
  </si>
  <si>
    <t>id_interes</t>
  </si>
  <si>
    <t>Identificador único del interés</t>
  </si>
  <si>
    <t>Nombre del área de interés</t>
  </si>
  <si>
    <t>Categoría temática del interés</t>
  </si>
  <si>
    <t>id_empresa</t>
  </si>
  <si>
    <t>Identificador único de la empresa</t>
  </si>
  <si>
    <t>Nombre o razón social de la empresa</t>
  </si>
  <si>
    <t>descripcion</t>
  </si>
  <si>
    <t>Descripción general de la empresa</t>
  </si>
  <si>
    <t>sitio_web</t>
  </si>
  <si>
    <t>URL del sitio web corporativo</t>
  </si>
  <si>
    <t>contacto</t>
  </si>
  <si>
    <t>Nombre o email del contacto en la empresa</t>
  </si>
  <si>
    <t>id_usuario</t>
  </si>
  <si>
    <t>Identificador único del usuario</t>
  </si>
  <si>
    <t>Nombre(s) del usuario</t>
  </si>
  <si>
    <t>apellido</t>
  </si>
  <si>
    <t>Apellido(s) del usuario</t>
  </si>
  <si>
    <t>email</t>
  </si>
  <si>
    <t>Correo electrónico del usuario</t>
  </si>
  <si>
    <t>contrasena</t>
  </si>
  <si>
    <t>Hash de la contraseña del usuario</t>
  </si>
  <si>
    <t>Almacenar hash, nunca texto plano</t>
  </si>
  <si>
    <t>fecha_registro</t>
  </si>
  <si>
    <t>Fecha y hora de registro en la plataforma</t>
  </si>
  <si>
    <t>DEFAULT NOW()</t>
  </si>
  <si>
    <t>foto_perfil</t>
  </si>
  <si>
    <t>URL de la foto de perfil del usuario</t>
  </si>
  <si>
    <t>biografia</t>
  </si>
  <si>
    <t>Texto de presentación del usuario</t>
  </si>
  <si>
    <t>estado</t>
  </si>
  <si>
    <t>Estado de la cuenta (activo/inactivo/suspendido)</t>
  </si>
  <si>
    <t>DEFAULT 'activo'</t>
  </si>
  <si>
    <t>FK al supertipo usuario</t>
  </si>
  <si>
    <t>INT</t>
  </si>
  <si>
    <t>PK y FK a usuario</t>
  </si>
  <si>
    <t>codigo_estudiante</t>
  </si>
  <si>
    <t>Código estudiantil institucional</t>
  </si>
  <si>
    <t>semestre</t>
  </si>
  <si>
    <t>Semestre actual cursado (1-10)</t>
  </si>
  <si>
    <t>SMALLINT</t>
  </si>
  <si>
    <t>CHECK BETWEEN 1 AND 10</t>
  </si>
  <si>
    <t>FK al programa académico del estudiante</t>
  </si>
  <si>
    <t>FK a programa_academico</t>
  </si>
  <si>
    <t>codigo_docente</t>
  </si>
  <si>
    <t>Código docente institucional</t>
  </si>
  <si>
    <t>departamento</t>
  </si>
  <si>
    <t>Departamento académico del docente</t>
  </si>
  <si>
    <t>especialidad</t>
  </si>
  <si>
    <t>Área de especialización del docente</t>
  </si>
  <si>
    <t>codigo_empleado</t>
  </si>
  <si>
    <t>Código de empleado institucional</t>
  </si>
  <si>
    <t>cargo</t>
  </si>
  <si>
    <t>Cargo o puesto del empleado</t>
  </si>
  <si>
    <t>dependencia</t>
  </si>
  <si>
    <t>Dependencia o área administrativa</t>
  </si>
  <si>
    <t>anio_egreso</t>
  </si>
  <si>
    <t>Año de graduación del egresado</t>
  </si>
  <si>
    <t>cargo_actual</t>
  </si>
  <si>
    <t>Cargo que ocupa actualmente</t>
  </si>
  <si>
    <t>empresa_actual</t>
  </si>
  <si>
    <t>Empresa donde trabaja actualmente</t>
  </si>
  <si>
    <t>FK al programa del que se graduó</t>
  </si>
  <si>
    <t>organizacion</t>
  </si>
  <si>
    <t>Organización a la que pertenece</t>
  </si>
  <si>
    <t>tipo_vinculo</t>
  </si>
  <si>
    <t>Tipo de vínculo con la institución</t>
  </si>
  <si>
    <t>FK al usuario</t>
  </si>
  <si>
    <t>PK compuesta</t>
  </si>
  <si>
    <t>FK a la habilidad</t>
  </si>
  <si>
    <t>FK al interés</t>
  </si>
  <si>
    <t>id_seguidor</t>
  </si>
  <si>
    <t>FK al usuario que sigue</t>
  </si>
  <si>
    <t>id_seguido</t>
  </si>
  <si>
    <t>FK al usuario seguido</t>
  </si>
  <si>
    <t>PK compuesta; CHECK id_seguidor &lt;&gt; id_seguido</t>
  </si>
  <si>
    <t>fecha_ingreso</t>
  </si>
  <si>
    <t>Fecha en que se estableció el seguimiento</t>
  </si>
  <si>
    <t>id_grupo</t>
  </si>
  <si>
    <t>Identificador único del grupo</t>
  </si>
  <si>
    <t>id_creador</t>
  </si>
  <si>
    <t>FK al usuario creador del grupo</t>
  </si>
  <si>
    <t>FK a usuario</t>
  </si>
  <si>
    <t>Nombre del grupo</t>
  </si>
  <si>
    <t>Descripción o propósito del grupo</t>
  </si>
  <si>
    <t>tipo</t>
  </si>
  <si>
    <t>Tipo de grupo (estudio, club, hackaton…)</t>
  </si>
  <si>
    <t>CHECK con valores permitidos</t>
  </si>
  <si>
    <t>fecha_creacion</t>
  </si>
  <si>
    <t>Fecha de creación del grupo</t>
  </si>
  <si>
    <t>Estado del grupo (activo/inactivo)</t>
  </si>
  <si>
    <t>FK al usuario miembro</t>
  </si>
  <si>
    <t>FK al grupo</t>
  </si>
  <si>
    <t>rol</t>
  </si>
  <si>
    <t>Rol del usuario en el grupo</t>
  </si>
  <si>
    <t>DEFAULT 'miembro'</t>
  </si>
  <si>
    <t>Fecha en que el usuario ingresó al grupo</t>
  </si>
  <si>
    <t>Estado de la membresía</t>
  </si>
  <si>
    <t>id_evento</t>
  </si>
  <si>
    <t>Identificador único del evento</t>
  </si>
  <si>
    <t>FK al usuario creador del evento</t>
  </si>
  <si>
    <t>FK al grupo al que pertenece el evento</t>
  </si>
  <si>
    <t>Opcional; FK a grupo</t>
  </si>
  <si>
    <t>Nombre del evento</t>
  </si>
  <si>
    <t>Descripción del evento</t>
  </si>
  <si>
    <t>fecha_evento</t>
  </si>
  <si>
    <t>Fecha y hora del evento</t>
  </si>
  <si>
    <t>lugar</t>
  </si>
  <si>
    <t>Lugar o dirección del evento</t>
  </si>
  <si>
    <t>VARCHAR(200)</t>
  </si>
  <si>
    <t>modalidad</t>
  </si>
  <si>
    <t>Modalidad del evento (presencial/virtual)</t>
  </si>
  <si>
    <t>DEFAULT 'presencial'</t>
  </si>
  <si>
    <t>Estado del evento (activo/cancelado)</t>
  </si>
  <si>
    <t>FK al usuario que asiste</t>
  </si>
  <si>
    <t>FK al evento</t>
  </si>
  <si>
    <t>Estado de asistencia (confirmado/etc)</t>
  </si>
  <si>
    <t>DEFAULT 'confirmado'</t>
  </si>
  <si>
    <t>Fecha en que se registró la asistencia</t>
  </si>
  <si>
    <t>id_publicacion</t>
  </si>
  <si>
    <t>Identificador único de la publicación</t>
  </si>
  <si>
    <t>FK al usuario autor de la publicación</t>
  </si>
  <si>
    <t>FK al grupo donde se publicó (opcional)</t>
  </si>
  <si>
    <t>NULL = feed global</t>
  </si>
  <si>
    <t>contenido</t>
  </si>
  <si>
    <t>Texto del contenido de la publicación</t>
  </si>
  <si>
    <t>Tipo de publicación (general, pregunta…)</t>
  </si>
  <si>
    <t>DEFAULT 'general'</t>
  </si>
  <si>
    <t>Fecha y hora de creación</t>
  </si>
  <si>
    <t>Estado de la publicación</t>
  </si>
  <si>
    <t>id_multimedia</t>
  </si>
  <si>
    <t>Identificador único del archivo multimedia</t>
  </si>
  <si>
    <t>FK a la publicación a la que pertenece</t>
  </si>
  <si>
    <t>FK a publicacion</t>
  </si>
  <si>
    <t>url</t>
  </si>
  <si>
    <t>URL del archivo multimedia</t>
  </si>
  <si>
    <t>tipo_archivo</t>
  </si>
  <si>
    <t>Tipo de archivo (imagen, video, doc…)</t>
  </si>
  <si>
    <t>id_comentario</t>
  </si>
  <si>
    <t>Identificador único del comentario</t>
  </si>
  <si>
    <t>FK al usuario que comentó</t>
  </si>
  <si>
    <t>FK a la publicación comentada</t>
  </si>
  <si>
    <t>id_padre</t>
  </si>
  <si>
    <t>FK al comentario padre (respuesta)</t>
  </si>
  <si>
    <t>Relación reflexiva; NULL = raíz</t>
  </si>
  <si>
    <t>Texto del comentario</t>
  </si>
  <si>
    <t>Fecha y hora del comentario</t>
  </si>
  <si>
    <t>id_reaccion</t>
  </si>
  <si>
    <t>Identificador único de la reacción</t>
  </si>
  <si>
    <t>FK al usuario que reaccionó</t>
  </si>
  <si>
    <t>FK a la publicación reaccionada</t>
  </si>
  <si>
    <t>Tipo de reacción (like, love, wow…)</t>
  </si>
  <si>
    <t>Fecha y hora de la reacción</t>
  </si>
  <si>
    <t>id_producto</t>
  </si>
  <si>
    <t>Identificador único del producto</t>
  </si>
  <si>
    <t>id_vendedor</t>
  </si>
  <si>
    <t>FK al usuario que publica el producto</t>
  </si>
  <si>
    <t>Nombre del producto o servicio</t>
  </si>
  <si>
    <t>Descripción detallada del producto</t>
  </si>
  <si>
    <t>precio</t>
  </si>
  <si>
    <t>Precio del producto</t>
  </si>
  <si>
    <t>NUMERIC(10,2)</t>
  </si>
  <si>
    <t>Estado del producto (disponible/vendido)</t>
  </si>
  <si>
    <t>DEFAULT 'disponible'</t>
  </si>
  <si>
    <t>fecha_publicacion</t>
  </si>
  <si>
    <t>Fecha de publicación del producto</t>
  </si>
  <si>
    <t>id_foto</t>
  </si>
  <si>
    <t>Identificador único de la fotografía</t>
  </si>
  <si>
    <t>FK al producto al que pertenece la foto</t>
  </si>
  <si>
    <t>FK a producto</t>
  </si>
  <si>
    <t>URL de la fotografía del producto</t>
  </si>
  <si>
    <t>orden</t>
  </si>
  <si>
    <t>Orden de visualización de la fotografía</t>
  </si>
  <si>
    <t>DEFAULT 1</t>
  </si>
  <si>
    <t>id_intercambio</t>
  </si>
  <si>
    <t>Identificador único del intercambio</t>
  </si>
  <si>
    <t>FK al producto intercambiado</t>
  </si>
  <si>
    <t>id_comprador</t>
  </si>
  <si>
    <t>FK al usuario comprador</t>
  </si>
  <si>
    <t>fecha</t>
  </si>
  <si>
    <t>Fecha y hora de la transacción</t>
  </si>
  <si>
    <t>Estado del intercambio (pendiente/etc)</t>
  </si>
  <si>
    <t>DEFAULT 'pendiente'</t>
  </si>
  <si>
    <t>id_oferta</t>
  </si>
  <si>
    <t>Identificador único de la oferta laboral</t>
  </si>
  <si>
    <t>FK a la empresa que publica la oferta</t>
  </si>
  <si>
    <t>FK a empresa</t>
  </si>
  <si>
    <t>titulo</t>
  </si>
  <si>
    <t>Título o cargo de la oferta laboral</t>
  </si>
  <si>
    <t>Descripción completa de la oferta</t>
  </si>
  <si>
    <t>Modalidad de trabajo (remoto/presencial)</t>
  </si>
  <si>
    <t>Fecha de publicación de la oferta</t>
  </si>
  <si>
    <t>fecha_cierre</t>
  </si>
  <si>
    <t>Fecha límite de postulación</t>
  </si>
  <si>
    <t>Estado de la oferta (activa/cerrada)</t>
  </si>
  <si>
    <t>DEFAULT 'activa'</t>
  </si>
  <si>
    <t>id_requisito</t>
  </si>
  <si>
    <t>Identificador único del requisito</t>
  </si>
  <si>
    <t>FK a la oferta laboral</t>
  </si>
  <si>
    <t>FK a oferta_laboral</t>
  </si>
  <si>
    <t>Descripción del requisito solicitado</t>
  </si>
  <si>
    <t>FK al usuario postulante</t>
  </si>
  <si>
    <t>Fecha de postulación</t>
  </si>
  <si>
    <t>Estado de la postulación (enviada/revisada)</t>
  </si>
  <si>
    <t>DEFAULT 'enviada'</t>
  </si>
  <si>
    <t>id_mensaje</t>
  </si>
  <si>
    <t>Identificador único del mensaje</t>
  </si>
  <si>
    <t>id_emisor</t>
  </si>
  <si>
    <t>FK al usuario emisor del mensaje</t>
  </si>
  <si>
    <t>FK a usuario; CHECK emisor &lt;&gt; receptor</t>
  </si>
  <si>
    <t>id_receptor</t>
  </si>
  <si>
    <t>FK al usuario receptor del mensaje</t>
  </si>
  <si>
    <t>Texto del mensaje enviado</t>
  </si>
  <si>
    <t>fecha_envio</t>
  </si>
  <si>
    <t>Fecha y hora de envío del mensaje</t>
  </si>
  <si>
    <t>leido</t>
  </si>
  <si>
    <t>Indica si el mensaje fue leído</t>
  </si>
  <si>
    <t>DEFAULT FALSE</t>
  </si>
  <si>
    <t>id_notificacion</t>
  </si>
  <si>
    <t>Identificador único de la notificación</t>
  </si>
  <si>
    <t>FK al usuario destinatario</t>
  </si>
  <si>
    <t>Tipo de notificación (seguimiento, reacción…)</t>
  </si>
  <si>
    <t>Texto descriptivo de la notificación</t>
  </si>
  <si>
    <t>Fecha de generación de la notificación</t>
  </si>
  <si>
    <t>leida</t>
  </si>
  <si>
    <t>Indica si la notificación fue leída</t>
  </si>
  <si>
    <t>id_reporte</t>
  </si>
  <si>
    <t>Identificador único del reporte</t>
  </si>
  <si>
    <t>id_reportante</t>
  </si>
  <si>
    <t>FK al usuario que realiza el reporte</t>
  </si>
  <si>
    <t>Tipo de reporte (spam, acoso, etc)</t>
  </si>
  <si>
    <t>id_referencia</t>
  </si>
  <si>
    <t>ID del elemento reportado</t>
  </si>
  <si>
    <t>Polimórfico</t>
  </si>
  <si>
    <t>Descripción del motivo del reporte</t>
  </si>
  <si>
    <t>Fecha y hora del reporte</t>
  </si>
  <si>
    <t>Estado del reporte (pendiente/resuelto)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</si>
</sst>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rgb="FF7F7F7F"/>
      <name val="Arial"/>
    </font>
    <font>
      <b/>
      <sz val="14"/>
      <color rgb="FFFFFFFF"/>
      <name val="Calibri"/>
    </font>
    <font>
      <sz val="11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2"/>
      <color theme="1"/>
      <name val="Calibri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1F2F6"/>
        <bgColor rgb="FFC1F2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 wrapText="1"/>
    </xf>
    <xf numFmtId="0" fontId="3" fillId="0" borderId="8" xfId="0" applyFont="1" applyBorder="1"/>
    <xf numFmtId="0" fontId="12" fillId="0" borderId="0" xfId="0" applyFont="1"/>
    <xf numFmtId="0" fontId="9" fillId="5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1" fillId="9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0" fillId="10" borderId="5" xfId="0" applyFill="1" applyBorder="1"/>
    <xf numFmtId="0" fontId="0" fillId="1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511175</xdr:colOff>
      <xdr:row>0</xdr:row>
      <xdr:rowOff>279400</xdr:rowOff>
    </xdr:from>
    <xdr:to>
      <xdr:col>15</xdr:col>
      <xdr:colOff>104775</xdr:colOff>
      <xdr:row>44</xdr:row>
      <xdr:rowOff>117437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FFE839-3DAD-BA79-6281-A911213B7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279400"/>
          <a:ext cx="7772400" cy="9096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T21" sqref="T21"/>
    </sheetView>
  </sheetViews>
  <sheetFormatPr baseColWidth="10" defaultColWidth="14.42578125" defaultRowHeight="15" customHeight="1"/>
  <cols>
    <col min="1" max="26" width="8.7109375" customWidth="1"/>
  </cols>
  <sheetData>
    <row r="1" spans="1:17" ht="60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32"/>
      <c r="M1" s="32"/>
      <c r="N1" s="32"/>
      <c r="O1" s="32"/>
      <c r="P1" s="32"/>
      <c r="Q1" s="32"/>
    </row>
    <row r="2" spans="1:17" ht="1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2"/>
      <c r="L2" s="32"/>
      <c r="M2" s="32"/>
      <c r="N2" s="32"/>
      <c r="O2" s="32"/>
      <c r="P2" s="32"/>
      <c r="Q2" s="32"/>
    </row>
    <row r="3" spans="1:17" ht="1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</row>
    <row r="4" spans="1:17" ht="1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ht="1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ht="1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ht="1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ht="1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ht="1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ht="1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ht="1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ht="1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ht="1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ht="1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ht="1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ht="1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ht="1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ht="1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1:17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1:17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spans="1:1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1:17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17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7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1:17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17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7" spans="1:1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17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spans="1:17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17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spans="1:17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spans="1:17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17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17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17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</row>
    <row r="47" spans="1:1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</row>
    <row r="48" spans="1:17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</row>
    <row r="49" spans="1:17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spans="1:17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spans="1:17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</row>
    <row r="52" spans="1:17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</row>
    <row r="53" spans="1:17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</row>
    <row r="54" spans="1:17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</row>
    <row r="55" spans="1:17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</row>
    <row r="56" spans="1:17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</row>
    <row r="57" spans="1:1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</row>
    <row r="58" spans="1:17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</row>
    <row r="59" spans="1:17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</row>
    <row r="60" spans="1:17" ht="15.75" customHeight="1"/>
    <row r="61" spans="1:17" ht="15.75" customHeight="1"/>
    <row r="62" spans="1:17" ht="15.75" customHeight="1"/>
    <row r="63" spans="1:17" ht="15.75" customHeight="1"/>
    <row r="64" spans="1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3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2578125" defaultRowHeight="15" customHeight="1"/>
  <cols>
    <col min="1" max="1" width="6" customWidth="1"/>
    <col min="2" max="2" width="26" customWidth="1"/>
    <col min="3" max="3" width="58" customWidth="1"/>
    <col min="4" max="4" width="47" customWidth="1"/>
    <col min="5" max="20" width="8.7109375" customWidth="1"/>
  </cols>
  <sheetData>
    <row r="1" spans="1:4" ht="21.75" customHeight="1">
      <c r="A1" s="15" t="s">
        <v>0</v>
      </c>
      <c r="B1" s="16"/>
      <c r="C1" s="16"/>
      <c r="D1" s="17"/>
    </row>
    <row r="2" spans="1:4" ht="18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>
      <c r="A3" s="2">
        <v>1</v>
      </c>
      <c r="B3" s="2" t="s">
        <v>5</v>
      </c>
      <c r="C3" s="2" t="s">
        <v>6</v>
      </c>
      <c r="D3" s="2" t="s">
        <v>7</v>
      </c>
    </row>
    <row r="4" spans="1:4" ht="18" customHeight="1">
      <c r="A4" s="2">
        <v>2</v>
      </c>
      <c r="B4" s="2" t="s">
        <v>8</v>
      </c>
      <c r="C4" s="2" t="s">
        <v>9</v>
      </c>
      <c r="D4" s="2" t="s">
        <v>10</v>
      </c>
    </row>
    <row r="5" spans="1:4" ht="18" customHeight="1">
      <c r="A5" s="2">
        <v>3</v>
      </c>
      <c r="B5" s="2" t="s">
        <v>11</v>
      </c>
      <c r="C5" s="2" t="s">
        <v>12</v>
      </c>
      <c r="D5" s="2" t="s">
        <v>13</v>
      </c>
    </row>
    <row r="6" spans="1:4" ht="18" customHeight="1">
      <c r="A6" s="2">
        <v>4</v>
      </c>
      <c r="B6" s="2" t="s">
        <v>14</v>
      </c>
      <c r="C6" s="2" t="s">
        <v>15</v>
      </c>
      <c r="D6" s="2" t="s">
        <v>16</v>
      </c>
    </row>
    <row r="7" spans="1:4" ht="18" customHeight="1">
      <c r="A7" s="2">
        <v>5</v>
      </c>
      <c r="B7" s="2" t="s">
        <v>17</v>
      </c>
      <c r="C7" s="2" t="s">
        <v>18</v>
      </c>
      <c r="D7" s="2" t="s">
        <v>19</v>
      </c>
    </row>
    <row r="8" spans="1:4" ht="18" customHeight="1">
      <c r="A8" s="2">
        <v>6</v>
      </c>
      <c r="B8" s="2" t="s">
        <v>20</v>
      </c>
      <c r="C8" s="2" t="s">
        <v>21</v>
      </c>
      <c r="D8" s="2" t="s">
        <v>22</v>
      </c>
    </row>
    <row r="9" spans="1:4" ht="18" customHeight="1">
      <c r="A9" s="2">
        <v>7</v>
      </c>
      <c r="B9" s="2" t="s">
        <v>23</v>
      </c>
      <c r="C9" s="2" t="s">
        <v>24</v>
      </c>
      <c r="D9" s="2" t="s">
        <v>25</v>
      </c>
    </row>
    <row r="10" spans="1:4" ht="18" customHeight="1">
      <c r="A10" s="2">
        <v>8</v>
      </c>
      <c r="B10" s="2" t="s">
        <v>26</v>
      </c>
      <c r="C10" s="2" t="s">
        <v>27</v>
      </c>
      <c r="D10" s="2" t="s">
        <v>25</v>
      </c>
    </row>
    <row r="11" spans="1:4" ht="18" customHeight="1">
      <c r="A11" s="2">
        <v>9</v>
      </c>
      <c r="B11" s="2" t="s">
        <v>28</v>
      </c>
      <c r="C11" s="2" t="s">
        <v>29</v>
      </c>
      <c r="D11" s="2" t="s">
        <v>22</v>
      </c>
    </row>
    <row r="12" spans="1:4" ht="18" customHeight="1">
      <c r="A12" s="2">
        <v>10</v>
      </c>
      <c r="B12" s="2" t="s">
        <v>30</v>
      </c>
      <c r="C12" s="2" t="s">
        <v>31</v>
      </c>
      <c r="D12" s="2" t="s">
        <v>25</v>
      </c>
    </row>
    <row r="13" spans="1:4" ht="18" customHeight="1">
      <c r="A13" s="2">
        <v>11</v>
      </c>
      <c r="B13" s="2" t="s">
        <v>32</v>
      </c>
      <c r="C13" s="2" t="s">
        <v>33</v>
      </c>
      <c r="D13" s="2" t="s">
        <v>34</v>
      </c>
    </row>
    <row r="14" spans="1:4" ht="18" customHeight="1">
      <c r="A14" s="2">
        <v>12</v>
      </c>
      <c r="B14" s="2" t="s">
        <v>35</v>
      </c>
      <c r="C14" s="2" t="s">
        <v>36</v>
      </c>
      <c r="D14" s="2" t="s">
        <v>37</v>
      </c>
    </row>
    <row r="15" spans="1:4" ht="18" customHeight="1">
      <c r="A15" s="2">
        <v>13</v>
      </c>
      <c r="B15" s="2" t="s">
        <v>38</v>
      </c>
      <c r="C15" s="2" t="s">
        <v>39</v>
      </c>
      <c r="D15" s="2" t="s">
        <v>40</v>
      </c>
    </row>
    <row r="16" spans="1:4" ht="18" customHeight="1">
      <c r="A16" s="2">
        <v>14</v>
      </c>
      <c r="B16" s="2" t="s">
        <v>41</v>
      </c>
      <c r="C16" s="2" t="s">
        <v>42</v>
      </c>
      <c r="D16" s="2" t="s">
        <v>43</v>
      </c>
    </row>
    <row r="17" spans="1:4" ht="18" customHeight="1">
      <c r="A17" s="2">
        <v>15</v>
      </c>
      <c r="B17" s="2" t="s">
        <v>44</v>
      </c>
      <c r="C17" s="2" t="s">
        <v>45</v>
      </c>
      <c r="D17" s="2" t="s">
        <v>46</v>
      </c>
    </row>
    <row r="18" spans="1:4" ht="18" customHeight="1">
      <c r="A18" s="2">
        <v>16</v>
      </c>
      <c r="B18" s="2" t="s">
        <v>47</v>
      </c>
      <c r="C18" s="2" t="s">
        <v>48</v>
      </c>
      <c r="D18" s="2" t="s">
        <v>49</v>
      </c>
    </row>
    <row r="19" spans="1:4" ht="18" customHeight="1">
      <c r="A19" s="2">
        <v>17</v>
      </c>
      <c r="B19" s="2" t="s">
        <v>50</v>
      </c>
      <c r="C19" s="2" t="s">
        <v>51</v>
      </c>
      <c r="D19" s="2" t="s">
        <v>52</v>
      </c>
    </row>
    <row r="20" spans="1:4" ht="18" customHeight="1">
      <c r="A20" s="2">
        <v>18</v>
      </c>
      <c r="B20" s="2" t="s">
        <v>53</v>
      </c>
      <c r="C20" s="2" t="s">
        <v>54</v>
      </c>
      <c r="D20" s="2" t="s">
        <v>55</v>
      </c>
    </row>
    <row r="21" spans="1:4" ht="18" customHeight="1">
      <c r="A21" s="2">
        <v>19</v>
      </c>
      <c r="B21" s="2" t="s">
        <v>56</v>
      </c>
      <c r="C21" s="2" t="s">
        <v>57</v>
      </c>
      <c r="D21" s="2" t="s">
        <v>58</v>
      </c>
    </row>
    <row r="22" spans="1:4" ht="18" customHeight="1">
      <c r="A22" s="2">
        <v>20</v>
      </c>
      <c r="B22" s="2" t="s">
        <v>59</v>
      </c>
      <c r="C22" s="2" t="s">
        <v>60</v>
      </c>
      <c r="D22" s="2" t="s">
        <v>61</v>
      </c>
    </row>
    <row r="23" spans="1:4" ht="18" customHeight="1">
      <c r="A23" s="2">
        <v>21</v>
      </c>
      <c r="B23" s="2" t="s">
        <v>62</v>
      </c>
      <c r="C23" s="2" t="s">
        <v>63</v>
      </c>
      <c r="D23" s="2" t="s">
        <v>64</v>
      </c>
    </row>
    <row r="24" spans="1:4" ht="18" customHeight="1">
      <c r="A24" s="2">
        <v>22</v>
      </c>
      <c r="B24" s="2" t="s">
        <v>65</v>
      </c>
      <c r="C24" s="2" t="s">
        <v>66</v>
      </c>
      <c r="D24" s="2" t="s">
        <v>67</v>
      </c>
    </row>
    <row r="25" spans="1:4" ht="18" customHeight="1">
      <c r="A25" s="2">
        <v>23</v>
      </c>
      <c r="B25" s="2" t="s">
        <v>68</v>
      </c>
      <c r="C25" s="2" t="s">
        <v>69</v>
      </c>
      <c r="D25" s="2" t="s">
        <v>70</v>
      </c>
    </row>
    <row r="26" spans="1:4" ht="18" customHeight="1">
      <c r="A26" s="2">
        <v>24</v>
      </c>
      <c r="B26" s="2" t="s">
        <v>71</v>
      </c>
      <c r="C26" s="2" t="s">
        <v>72</v>
      </c>
      <c r="D26" s="2" t="s">
        <v>73</v>
      </c>
    </row>
    <row r="27" spans="1:4" ht="18" customHeight="1">
      <c r="A27" s="2">
        <v>25</v>
      </c>
      <c r="B27" s="2" t="s">
        <v>74</v>
      </c>
      <c r="C27" s="2" t="s">
        <v>75</v>
      </c>
      <c r="D27" s="2" t="s">
        <v>76</v>
      </c>
    </row>
    <row r="28" spans="1:4" ht="18" customHeight="1">
      <c r="A28" s="2">
        <v>26</v>
      </c>
      <c r="B28" s="2" t="s">
        <v>77</v>
      </c>
      <c r="C28" s="2" t="s">
        <v>78</v>
      </c>
      <c r="D28" s="2" t="s">
        <v>79</v>
      </c>
    </row>
    <row r="29" spans="1:4" ht="18" customHeight="1">
      <c r="A29" s="2">
        <v>27</v>
      </c>
      <c r="B29" s="2" t="s">
        <v>80</v>
      </c>
      <c r="C29" s="2" t="s">
        <v>81</v>
      </c>
      <c r="D29" s="2" t="s">
        <v>82</v>
      </c>
    </row>
    <row r="30" spans="1:4" ht="18" customHeight="1">
      <c r="A30" s="2">
        <v>28</v>
      </c>
      <c r="B30" s="2" t="s">
        <v>83</v>
      </c>
      <c r="C30" s="2" t="s">
        <v>84</v>
      </c>
      <c r="D30" s="2" t="s">
        <v>85</v>
      </c>
    </row>
    <row r="31" spans="1:4" ht="18" customHeight="1">
      <c r="A31" s="2">
        <v>29</v>
      </c>
      <c r="B31" s="2" t="s">
        <v>86</v>
      </c>
      <c r="C31" s="2" t="s">
        <v>87</v>
      </c>
      <c r="D31" s="2" t="s">
        <v>88</v>
      </c>
    </row>
    <row r="32" spans="1:4" ht="18" customHeight="1">
      <c r="A32" s="2">
        <v>30</v>
      </c>
      <c r="B32" s="2" t="s">
        <v>89</v>
      </c>
      <c r="C32" s="2" t="s">
        <v>90</v>
      </c>
      <c r="D32" s="2" t="s">
        <v>91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42578125" defaultRowHeight="15" customHeight="1"/>
  <cols>
    <col min="1" max="1" width="6" customWidth="1"/>
    <col min="2" max="3" width="30" customWidth="1"/>
    <col min="4" max="26" width="8.7109375" customWidth="1"/>
  </cols>
  <sheetData>
    <row r="1" spans="1:3" ht="21.75" customHeight="1">
      <c r="A1" s="18" t="s">
        <v>92</v>
      </c>
      <c r="B1" s="16"/>
      <c r="C1" s="17"/>
    </row>
    <row r="2" spans="1:3" ht="18" customHeight="1">
      <c r="A2" s="1" t="s">
        <v>1</v>
      </c>
      <c r="B2" s="3" t="s">
        <v>93</v>
      </c>
      <c r="C2" s="1" t="s">
        <v>94</v>
      </c>
    </row>
    <row r="3" spans="1:3" ht="18" customHeight="1">
      <c r="A3" s="4">
        <v>1</v>
      </c>
      <c r="B3" s="5" t="s">
        <v>95</v>
      </c>
      <c r="C3" s="5" t="s">
        <v>96</v>
      </c>
    </row>
    <row r="4" spans="1:3" ht="18" customHeight="1">
      <c r="A4" s="4">
        <v>2</v>
      </c>
      <c r="B4" s="5" t="s">
        <v>97</v>
      </c>
      <c r="C4" s="5" t="s">
        <v>97</v>
      </c>
    </row>
    <row r="5" spans="1:3" ht="18" customHeight="1">
      <c r="A5" s="4">
        <v>3</v>
      </c>
      <c r="B5" s="5" t="s">
        <v>98</v>
      </c>
      <c r="C5" s="5" t="s">
        <v>99</v>
      </c>
    </row>
    <row r="6" spans="1:3" ht="18" customHeight="1">
      <c r="A6" s="4">
        <v>4</v>
      </c>
      <c r="B6" s="5" t="s">
        <v>100</v>
      </c>
      <c r="C6" s="5" t="s">
        <v>101</v>
      </c>
    </row>
    <row r="7" spans="1:3" ht="18" customHeight="1">
      <c r="A7" s="4">
        <v>5</v>
      </c>
      <c r="B7" s="5" t="s">
        <v>102</v>
      </c>
      <c r="C7" s="5" t="s">
        <v>103</v>
      </c>
    </row>
    <row r="8" spans="1:3" ht="18" customHeight="1">
      <c r="A8" s="4">
        <v>6</v>
      </c>
      <c r="B8" s="5" t="s">
        <v>104</v>
      </c>
      <c r="C8" s="5" t="s">
        <v>105</v>
      </c>
    </row>
    <row r="9" spans="1:3" ht="18" customHeight="1">
      <c r="A9" s="4">
        <v>7</v>
      </c>
      <c r="B9" s="5" t="s">
        <v>106</v>
      </c>
      <c r="C9" s="5" t="s">
        <v>107</v>
      </c>
    </row>
    <row r="10" spans="1:3" ht="18" customHeight="1">
      <c r="A10" s="4">
        <v>8</v>
      </c>
      <c r="B10" s="5" t="s">
        <v>108</v>
      </c>
      <c r="C10" s="5" t="s">
        <v>109</v>
      </c>
    </row>
    <row r="11" spans="1:3" ht="18" customHeight="1">
      <c r="A11" s="4">
        <v>9</v>
      </c>
      <c r="B11" s="5" t="s">
        <v>110</v>
      </c>
      <c r="C11" s="5" t="s">
        <v>111</v>
      </c>
    </row>
    <row r="12" spans="1:3" ht="18" customHeight="1">
      <c r="A12" s="4">
        <v>10</v>
      </c>
      <c r="B12" s="5" t="s">
        <v>112</v>
      </c>
      <c r="C12" s="5" t="s">
        <v>113</v>
      </c>
    </row>
    <row r="13" spans="1:3" ht="18" customHeight="1">
      <c r="A13" s="4">
        <v>11</v>
      </c>
      <c r="B13" s="5" t="s">
        <v>114</v>
      </c>
      <c r="C13" s="5" t="s">
        <v>113</v>
      </c>
    </row>
    <row r="14" spans="1:3" ht="18" customHeight="1">
      <c r="A14" s="4">
        <v>12</v>
      </c>
      <c r="B14" s="5" t="s">
        <v>115</v>
      </c>
      <c r="C14" s="5" t="s">
        <v>116</v>
      </c>
    </row>
    <row r="15" spans="1:3" ht="18" customHeight="1">
      <c r="A15" s="4">
        <v>13</v>
      </c>
      <c r="B15" s="5" t="s">
        <v>117</v>
      </c>
      <c r="C15" s="5" t="s">
        <v>118</v>
      </c>
    </row>
    <row r="16" spans="1:3" ht="18" customHeight="1">
      <c r="A16" s="4">
        <v>14</v>
      </c>
      <c r="B16" s="5" t="s">
        <v>119</v>
      </c>
      <c r="C16" s="5" t="s">
        <v>120</v>
      </c>
    </row>
    <row r="17" spans="1:3" ht="18" customHeight="1">
      <c r="A17" s="4">
        <v>15</v>
      </c>
      <c r="B17" s="5" t="s">
        <v>121</v>
      </c>
      <c r="C17" s="5" t="s">
        <v>122</v>
      </c>
    </row>
    <row r="18" spans="1:3" ht="18" customHeight="1">
      <c r="A18" s="4">
        <v>16</v>
      </c>
      <c r="B18" s="5" t="s">
        <v>123</v>
      </c>
      <c r="C18" s="5" t="s">
        <v>124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000"/>
  <sheetViews>
    <sheetView workbookViewId="0"/>
  </sheetViews>
  <sheetFormatPr baseColWidth="10" defaultColWidth="14.42578125" defaultRowHeight="15" customHeight="1"/>
  <cols>
    <col min="1" max="1" width="5" customWidth="1"/>
    <col min="2" max="2" width="24.85546875" customWidth="1"/>
    <col min="3" max="3" width="35.85546875" customWidth="1"/>
    <col min="4" max="4" width="38" customWidth="1"/>
    <col min="5" max="5" width="18" customWidth="1"/>
    <col min="6" max="6" width="14" customWidth="1"/>
    <col min="7" max="7" width="17.140625" customWidth="1"/>
    <col min="8" max="8" width="9.5703125" customWidth="1"/>
    <col min="9" max="9" width="5" customWidth="1"/>
    <col min="10" max="10" width="3.42578125" customWidth="1"/>
    <col min="11" max="11" width="8.28515625" customWidth="1"/>
    <col min="12" max="12" width="28" customWidth="1"/>
    <col min="13" max="26" width="8.7109375" customWidth="1"/>
  </cols>
  <sheetData>
    <row r="2" spans="1:12" ht="27.75" customHeight="1">
      <c r="A2" s="2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21.75" customHeight="1">
      <c r="A3" s="27" t="s">
        <v>126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18" customHeight="1">
      <c r="A4" s="6" t="s">
        <v>1</v>
      </c>
      <c r="B4" s="6" t="s">
        <v>2</v>
      </c>
      <c r="C4" s="28" t="s">
        <v>3</v>
      </c>
      <c r="D4" s="24"/>
      <c r="E4" s="24"/>
      <c r="F4" s="24"/>
      <c r="G4" s="24"/>
      <c r="H4" s="24"/>
      <c r="I4" s="24"/>
      <c r="J4" s="24"/>
      <c r="K4" s="24"/>
      <c r="L4" s="20"/>
    </row>
    <row r="5" spans="1:12" ht="18" customHeight="1">
      <c r="A5" s="7">
        <v>1</v>
      </c>
      <c r="B5" s="7" t="str">
        <f>'Inventario Modelo Lógico (corre'!B3</f>
        <v>programa_academico</v>
      </c>
      <c r="C5" s="19" t="str">
        <f>'Inventario Modelo Lógico (corre'!C3</f>
        <v>Catálogo de programas académicos ofrecidos por la institución</v>
      </c>
      <c r="D5" s="24"/>
      <c r="E5" s="24"/>
      <c r="F5" s="24"/>
      <c r="G5" s="24"/>
      <c r="H5" s="24"/>
      <c r="I5" s="24"/>
      <c r="J5" s="24"/>
      <c r="K5" s="24"/>
      <c r="L5" s="20"/>
    </row>
    <row r="6" spans="1:12" ht="18" customHeight="1">
      <c r="A6" s="7">
        <v>2</v>
      </c>
      <c r="B6" s="7" t="str">
        <f>'Inventario Modelo Lógico (corre'!B4</f>
        <v>habilidad</v>
      </c>
      <c r="C6" s="19" t="str">
        <f>'Inventario Modelo Lógico (corre'!C4</f>
        <v>Catálogo de habilidades que los usuarios pueden asociar a su perfil</v>
      </c>
      <c r="D6" s="24"/>
      <c r="E6" s="24"/>
      <c r="F6" s="24"/>
      <c r="G6" s="24"/>
      <c r="H6" s="24"/>
      <c r="I6" s="24"/>
      <c r="J6" s="24"/>
      <c r="K6" s="24"/>
      <c r="L6" s="20"/>
    </row>
    <row r="7" spans="1:12" ht="18" customHeight="1">
      <c r="A7" s="7">
        <v>3</v>
      </c>
      <c r="B7" s="7" t="str">
        <f>'Inventario Modelo Lógico (corre'!B5</f>
        <v>interes</v>
      </c>
      <c r="C7" s="19" t="str">
        <f>'Inventario Modelo Lógico (corre'!C5</f>
        <v>Catálogo de áreas de interés disponibles para los usuarios</v>
      </c>
      <c r="D7" s="24"/>
      <c r="E7" s="24"/>
      <c r="F7" s="24"/>
      <c r="G7" s="24"/>
      <c r="H7" s="24"/>
      <c r="I7" s="24"/>
      <c r="J7" s="24"/>
      <c r="K7" s="24"/>
      <c r="L7" s="20"/>
    </row>
    <row r="8" spans="1:12" ht="18" customHeight="1">
      <c r="A8" s="7">
        <v>4</v>
      </c>
      <c r="B8" s="7" t="str">
        <f>'Inventario Modelo Lógico (corre'!B6</f>
        <v>empresa</v>
      </c>
      <c r="C8" s="19" t="str">
        <f>'Inventario Modelo Lógico (corre'!C6</f>
        <v>Empresas registradas en la plataforma para publicar ofertas laborales</v>
      </c>
      <c r="D8" s="24"/>
      <c r="E8" s="24"/>
      <c r="F8" s="24"/>
      <c r="G8" s="24"/>
      <c r="H8" s="24"/>
      <c r="I8" s="24"/>
      <c r="J8" s="24"/>
      <c r="K8" s="24"/>
      <c r="L8" s="20"/>
    </row>
    <row r="9" spans="1:12" ht="18" customHeight="1">
      <c r="A9" s="7">
        <v>5</v>
      </c>
      <c r="B9" s="7" t="str">
        <f>'Inventario Modelo Lógico (corre'!B7</f>
        <v>usuario</v>
      </c>
      <c r="C9" s="19" t="str">
        <f>'Inventario Modelo Lógico (corre'!C7</f>
        <v>Supertipo que agrupa a todos los tipos de usuarios de la red social</v>
      </c>
      <c r="D9" s="24"/>
      <c r="E9" s="24"/>
      <c r="F9" s="24"/>
      <c r="G9" s="24"/>
      <c r="H9" s="24"/>
      <c r="I9" s="24"/>
      <c r="J9" s="24"/>
      <c r="K9" s="24"/>
      <c r="L9" s="20"/>
    </row>
    <row r="10" spans="1:12" ht="18" customHeight="1">
      <c r="A10" s="7">
        <v>6</v>
      </c>
      <c r="B10" s="7" t="str">
        <f>'Inventario Modelo Lógico (corre'!B8</f>
        <v>estudiante</v>
      </c>
      <c r="C10" s="19" t="str">
        <f>'Inventario Modelo Lógico (corre'!C8</f>
        <v>Subtipo de usuario: estudiante activo de la institución</v>
      </c>
      <c r="D10" s="24"/>
      <c r="E10" s="24"/>
      <c r="F10" s="24"/>
      <c r="G10" s="24"/>
      <c r="H10" s="24"/>
      <c r="I10" s="24"/>
      <c r="J10" s="24"/>
      <c r="K10" s="24"/>
      <c r="L10" s="20"/>
    </row>
    <row r="11" spans="1:12" ht="18" customHeight="1">
      <c r="A11" s="7">
        <v>7</v>
      </c>
      <c r="B11" s="7" t="str">
        <f>'Inventario Modelo Lógico (corre'!B9</f>
        <v>docente</v>
      </c>
      <c r="C11" s="19" t="str">
        <f>'Inventario Modelo Lógico (corre'!C9</f>
        <v>Subtipo de usuario: docente vinculado a la institución</v>
      </c>
      <c r="D11" s="24"/>
      <c r="E11" s="24"/>
      <c r="F11" s="24"/>
      <c r="G11" s="24"/>
      <c r="H11" s="24"/>
      <c r="I11" s="24"/>
      <c r="J11" s="24"/>
      <c r="K11" s="24"/>
      <c r="L11" s="20"/>
    </row>
    <row r="12" spans="1:12" ht="18" customHeight="1">
      <c r="A12" s="7">
        <v>8</v>
      </c>
      <c r="B12" s="7" t="str">
        <f>'Inventario Modelo Lógico (corre'!B10</f>
        <v>empleado</v>
      </c>
      <c r="C12" s="19" t="str">
        <f>'Inventario Modelo Lógico (corre'!C10</f>
        <v>Subtipo de usuario: empleado administrativo de la institución</v>
      </c>
      <c r="D12" s="24"/>
      <c r="E12" s="24"/>
      <c r="F12" s="24"/>
      <c r="G12" s="24"/>
      <c r="H12" s="24"/>
      <c r="I12" s="24"/>
      <c r="J12" s="24"/>
      <c r="K12" s="24"/>
      <c r="L12" s="20"/>
    </row>
    <row r="13" spans="1:12" ht="18" customHeight="1">
      <c r="A13" s="7">
        <v>9</v>
      </c>
      <c r="B13" s="7" t="str">
        <f>'Inventario Modelo Lógico (corre'!B11</f>
        <v>egresado</v>
      </c>
      <c r="C13" s="19" t="str">
        <f>'Inventario Modelo Lógico (corre'!C11</f>
        <v>Subtipo de usuario: graduado de la institución</v>
      </c>
      <c r="D13" s="24"/>
      <c r="E13" s="24"/>
      <c r="F13" s="24"/>
      <c r="G13" s="24"/>
      <c r="H13" s="24"/>
      <c r="I13" s="24"/>
      <c r="J13" s="24"/>
      <c r="K13" s="24"/>
      <c r="L13" s="20"/>
    </row>
    <row r="14" spans="1:12" ht="18" customHeight="1">
      <c r="A14" s="7">
        <v>10</v>
      </c>
      <c r="B14" s="7" t="str">
        <f>'Inventario Modelo Lógico (corre'!B12</f>
        <v>publico_general</v>
      </c>
      <c r="C14" s="19" t="str">
        <f>'Inventario Modelo Lógico (corre'!C12</f>
        <v>Subtipo de usuario: persona externa sin vínculo institucional formal</v>
      </c>
      <c r="D14" s="24"/>
      <c r="E14" s="24"/>
      <c r="F14" s="24"/>
      <c r="G14" s="24"/>
      <c r="H14" s="24"/>
      <c r="I14" s="24"/>
      <c r="J14" s="24"/>
      <c r="K14" s="24"/>
      <c r="L14" s="20"/>
    </row>
    <row r="15" spans="1:12" ht="18" customHeight="1">
      <c r="A15" s="7">
        <v>11</v>
      </c>
      <c r="B15" s="7" t="str">
        <f>'Inventario Modelo Lógico (corre'!B13</f>
        <v>usuario_habilidad</v>
      </c>
      <c r="C15" s="19" t="str">
        <f>'Inventario Modelo Lógico (corre'!C13</f>
        <v>Tabla pivote N:M entre usuario y habilidad</v>
      </c>
      <c r="D15" s="24"/>
      <c r="E15" s="24"/>
      <c r="F15" s="24"/>
      <c r="G15" s="24"/>
      <c r="H15" s="24"/>
      <c r="I15" s="24"/>
      <c r="J15" s="24"/>
      <c r="K15" s="24"/>
      <c r="L15" s="20"/>
    </row>
    <row r="16" spans="1:12" ht="18" customHeight="1">
      <c r="A16" s="7">
        <v>12</v>
      </c>
      <c r="B16" s="7" t="str">
        <f>'Inventario Modelo Lógico (corre'!B14</f>
        <v>usuario_interes</v>
      </c>
      <c r="C16" s="19" t="str">
        <f>'Inventario Modelo Lógico (corre'!C14</f>
        <v>Tabla pivote N:M entre usuario y área de interés</v>
      </c>
      <c r="D16" s="24"/>
      <c r="E16" s="24"/>
      <c r="F16" s="24"/>
      <c r="G16" s="24"/>
      <c r="H16" s="24"/>
      <c r="I16" s="24"/>
      <c r="J16" s="24"/>
      <c r="K16" s="24"/>
      <c r="L16" s="20"/>
    </row>
    <row r="17" spans="1:12" ht="18" customHeight="1">
      <c r="A17" s="7">
        <v>13</v>
      </c>
      <c r="B17" s="7" t="str">
        <f>'Inventario Modelo Lógico (corre'!B15</f>
        <v>seguimiento</v>
      </c>
      <c r="C17" s="19" t="str">
        <f>'Inventario Modelo Lógico (corre'!C15</f>
        <v>Relación reflexiva N:M que modela el seguimiento entre usuarios</v>
      </c>
      <c r="D17" s="24"/>
      <c r="E17" s="24"/>
      <c r="F17" s="24"/>
      <c r="G17" s="24"/>
      <c r="H17" s="24"/>
      <c r="I17" s="24"/>
      <c r="J17" s="24"/>
      <c r="K17" s="24"/>
      <c r="L17" s="20"/>
    </row>
    <row r="18" spans="1:12" ht="18" customHeight="1">
      <c r="A18" s="7">
        <v>14</v>
      </c>
      <c r="B18" s="7" t="str">
        <f>'Inventario Modelo Lógico (corre'!B16</f>
        <v>grupo</v>
      </c>
      <c r="C18" s="19" t="str">
        <f>'Inventario Modelo Lógico (corre'!C16</f>
        <v>Grupos creados por usuarios para organizar actividades colectivas</v>
      </c>
      <c r="D18" s="24"/>
      <c r="E18" s="24"/>
      <c r="F18" s="24"/>
      <c r="G18" s="24"/>
      <c r="H18" s="24"/>
      <c r="I18" s="24"/>
      <c r="J18" s="24"/>
      <c r="K18" s="24"/>
      <c r="L18" s="20"/>
    </row>
    <row r="19" spans="1:12" ht="18" customHeight="1">
      <c r="A19" s="7">
        <v>15</v>
      </c>
      <c r="B19" s="7" t="str">
        <f>'Inventario Modelo Lógico (corre'!B17</f>
        <v>miembro_grupo</v>
      </c>
      <c r="C19" s="19" t="str">
        <f>'Inventario Modelo Lógico (corre'!C17</f>
        <v>Tabla pivote N:M entre usuario y grupo con rol del miembro</v>
      </c>
      <c r="D19" s="24"/>
      <c r="E19" s="24"/>
      <c r="F19" s="24"/>
      <c r="G19" s="24"/>
      <c r="H19" s="24"/>
      <c r="I19" s="24"/>
      <c r="J19" s="24"/>
      <c r="K19" s="24"/>
      <c r="L19" s="20"/>
    </row>
    <row r="20" spans="1:12" ht="18" customHeight="1">
      <c r="A20" s="7">
        <v>16</v>
      </c>
      <c r="B20" s="7" t="str">
        <f>'Inventario Modelo Lógico (corre'!B18</f>
        <v>evento</v>
      </c>
      <c r="C20" s="19" t="str">
        <f>'Inventario Modelo Lógico (corre'!C18</f>
        <v>Eventos académicos o sociales creados dentro de la plataforma</v>
      </c>
      <c r="D20" s="24"/>
      <c r="E20" s="24"/>
      <c r="F20" s="24"/>
      <c r="G20" s="24"/>
      <c r="H20" s="24"/>
      <c r="I20" s="24"/>
      <c r="J20" s="24"/>
      <c r="K20" s="24"/>
      <c r="L20" s="20"/>
    </row>
    <row r="21" spans="1:12" ht="18" customHeight="1">
      <c r="A21" s="7">
        <v>17</v>
      </c>
      <c r="B21" s="7" t="str">
        <f>'Inventario Modelo Lógico (corre'!B19</f>
        <v>asistencia_evento</v>
      </c>
      <c r="C21" s="19" t="str">
        <f>'Inventario Modelo Lógico (corre'!C19</f>
        <v>Registro de asistencia o confirmación de usuarios a eventos</v>
      </c>
      <c r="D21" s="24"/>
      <c r="E21" s="24"/>
      <c r="F21" s="24"/>
      <c r="G21" s="24"/>
      <c r="H21" s="24"/>
      <c r="I21" s="24"/>
      <c r="J21" s="24"/>
      <c r="K21" s="24"/>
      <c r="L21" s="20"/>
    </row>
    <row r="22" spans="1:12" ht="18" customHeight="1">
      <c r="A22" s="7">
        <v>18</v>
      </c>
      <c r="B22" s="7" t="str">
        <f>'Inventario Modelo Lógico (corre'!B20</f>
        <v>publicacion</v>
      </c>
      <c r="C22" s="19" t="str">
        <f>'Inventario Modelo Lógico (corre'!C20</f>
        <v>Publicaciones realizadas por usuarios en el feed de la red social</v>
      </c>
      <c r="D22" s="24"/>
      <c r="E22" s="24"/>
      <c r="F22" s="24"/>
      <c r="G22" s="24"/>
      <c r="H22" s="24"/>
      <c r="I22" s="24"/>
      <c r="J22" s="24"/>
      <c r="K22" s="24"/>
      <c r="L22" s="20"/>
    </row>
    <row r="23" spans="1:12" ht="18" customHeight="1">
      <c r="A23" s="7">
        <v>19</v>
      </c>
      <c r="B23" s="7" t="str">
        <f>'Inventario Modelo Lógico (corre'!B21</f>
        <v>publicacion_multimedia</v>
      </c>
      <c r="C23" s="19" t="str">
        <f>'Inventario Modelo Lógico (corre'!C21</f>
        <v>Archivos multimedia adjuntos a una publicación</v>
      </c>
      <c r="D23" s="24"/>
      <c r="E23" s="24"/>
      <c r="F23" s="24"/>
      <c r="G23" s="24"/>
      <c r="H23" s="24"/>
      <c r="I23" s="24"/>
      <c r="J23" s="24"/>
      <c r="K23" s="24"/>
      <c r="L23" s="20"/>
    </row>
    <row r="24" spans="1:12" ht="18" customHeight="1">
      <c r="A24" s="7">
        <v>20</v>
      </c>
      <c r="B24" s="7" t="str">
        <f>'Inventario Modelo Lógico (corre'!B22</f>
        <v>comentario</v>
      </c>
      <c r="C24" s="19" t="str">
        <f>'Inventario Modelo Lógico (corre'!C22</f>
        <v>Comentarios realizados por usuarios sobre publicaciones</v>
      </c>
      <c r="D24" s="24"/>
      <c r="E24" s="24"/>
      <c r="F24" s="24"/>
      <c r="G24" s="24"/>
      <c r="H24" s="24"/>
      <c r="I24" s="24"/>
      <c r="J24" s="24"/>
      <c r="K24" s="24"/>
      <c r="L24" s="20"/>
    </row>
    <row r="25" spans="1:12" ht="18" customHeight="1">
      <c r="A25" s="7">
        <v>21</v>
      </c>
      <c r="B25" s="7" t="str">
        <f>'Inventario Modelo Lógico (corre'!B23</f>
        <v>reaccion</v>
      </c>
      <c r="C25" s="19" t="str">
        <f>'Inventario Modelo Lógico (corre'!C23</f>
        <v>Reacciones de usuarios a publicaciones (like, love, etc.)</v>
      </c>
      <c r="D25" s="24"/>
      <c r="E25" s="24"/>
      <c r="F25" s="24"/>
      <c r="G25" s="24"/>
      <c r="H25" s="24"/>
      <c r="I25" s="24"/>
      <c r="J25" s="24"/>
      <c r="K25" s="24"/>
      <c r="L25" s="20"/>
    </row>
    <row r="26" spans="1:12" ht="18" customHeight="1">
      <c r="A26" s="7">
        <v>22</v>
      </c>
      <c r="B26" s="7" t="str">
        <f>'Inventario Modelo Lógico (corre'!B24</f>
        <v>producto</v>
      </c>
      <c r="C26" s="19" t="str">
        <f>'Inventario Modelo Lógico (corre'!C24</f>
        <v>Productos o servicios publicados en el marketplace de la plataforma</v>
      </c>
      <c r="D26" s="24"/>
      <c r="E26" s="24"/>
      <c r="F26" s="24"/>
      <c r="G26" s="24"/>
      <c r="H26" s="24"/>
      <c r="I26" s="24"/>
      <c r="J26" s="24"/>
      <c r="K26" s="24"/>
      <c r="L26" s="20"/>
    </row>
    <row r="27" spans="1:12" ht="18" customHeight="1">
      <c r="A27" s="7">
        <v>23</v>
      </c>
      <c r="B27" s="7" t="str">
        <f>'Inventario Modelo Lógico (corre'!B25</f>
        <v>producto_foto</v>
      </c>
      <c r="C27" s="19" t="str">
        <f>'Inventario Modelo Lógico (corre'!C25</f>
        <v>Fotografías asociadas a un producto del marketplace</v>
      </c>
      <c r="D27" s="24"/>
      <c r="E27" s="24"/>
      <c r="F27" s="24"/>
      <c r="G27" s="24"/>
      <c r="H27" s="24"/>
      <c r="I27" s="24"/>
      <c r="J27" s="24"/>
      <c r="K27" s="24"/>
      <c r="L27" s="20"/>
    </row>
    <row r="28" spans="1:12" ht="18" customHeight="1">
      <c r="A28" s="7">
        <v>24</v>
      </c>
      <c r="B28" s="7" t="str">
        <f>'Inventario Modelo Lógico (corre'!B26</f>
        <v>intercambio</v>
      </c>
      <c r="C28" s="19" t="str">
        <f>'Inventario Modelo Lógico (corre'!C26</f>
        <v>Registro de transacciones de compra o intercambio de productos</v>
      </c>
      <c r="D28" s="24"/>
      <c r="E28" s="24"/>
      <c r="F28" s="24"/>
      <c r="G28" s="24"/>
      <c r="H28" s="24"/>
      <c r="I28" s="24"/>
      <c r="J28" s="24"/>
      <c r="K28" s="24"/>
      <c r="L28" s="20"/>
    </row>
    <row r="29" spans="1:12" ht="18" customHeight="1">
      <c r="A29" s="7">
        <v>25</v>
      </c>
      <c r="B29" s="7" t="str">
        <f>'Inventario Modelo Lógico (corre'!B27</f>
        <v>oferta_laboral</v>
      </c>
      <c r="C29" s="19" t="str">
        <f>'Inventario Modelo Lógico (corre'!C27</f>
        <v>Ofertas de trabajo publicadas por empresas registradas</v>
      </c>
      <c r="D29" s="24"/>
      <c r="E29" s="24"/>
      <c r="F29" s="24"/>
      <c r="G29" s="24"/>
      <c r="H29" s="24"/>
      <c r="I29" s="24"/>
      <c r="J29" s="24"/>
      <c r="K29" s="24"/>
      <c r="L29" s="20"/>
    </row>
    <row r="30" spans="1:12" ht="18" customHeight="1">
      <c r="A30" s="7">
        <v>26</v>
      </c>
      <c r="B30" s="7" t="str">
        <f>'Inventario Modelo Lógico (corre'!B28</f>
        <v>oferta_requisito</v>
      </c>
      <c r="C30" s="19" t="str">
        <f>'Inventario Modelo Lógico (corre'!C28</f>
        <v>Requisitos específicos asociados a una oferta laboral</v>
      </c>
      <c r="D30" s="24"/>
      <c r="E30" s="24"/>
      <c r="F30" s="24"/>
      <c r="G30" s="24"/>
      <c r="H30" s="24"/>
      <c r="I30" s="24"/>
      <c r="J30" s="24"/>
      <c r="K30" s="24"/>
      <c r="L30" s="20"/>
    </row>
    <row r="31" spans="1:12" ht="18" customHeight="1">
      <c r="A31" s="7">
        <v>27</v>
      </c>
      <c r="B31" s="7" t="str">
        <f>'Inventario Modelo Lógico (corre'!B29</f>
        <v>postulacion</v>
      </c>
      <c r="C31" s="19" t="str">
        <f>'Inventario Modelo Lógico (corre'!C29</f>
        <v>Postulaciones de usuarios a ofertas laborales</v>
      </c>
      <c r="D31" s="24"/>
      <c r="E31" s="24"/>
      <c r="F31" s="24"/>
      <c r="G31" s="24"/>
      <c r="H31" s="24"/>
      <c r="I31" s="24"/>
      <c r="J31" s="24"/>
      <c r="K31" s="24"/>
      <c r="L31" s="20"/>
    </row>
    <row r="32" spans="1:12" ht="18" customHeight="1">
      <c r="A32" s="7">
        <v>28</v>
      </c>
      <c r="B32" s="7" t="str">
        <f>'Inventario Modelo Lógico (corre'!B30</f>
        <v>mensaje</v>
      </c>
      <c r="C32" s="19" t="str">
        <f>'Inventario Modelo Lógico (corre'!C30</f>
        <v>Mensajes directos intercambiados entre usuarios de la plataforma</v>
      </c>
      <c r="D32" s="24"/>
      <c r="E32" s="24"/>
      <c r="F32" s="24"/>
      <c r="G32" s="24"/>
      <c r="H32" s="24"/>
      <c r="I32" s="24"/>
      <c r="J32" s="24"/>
      <c r="K32" s="24"/>
      <c r="L32" s="20"/>
    </row>
    <row r="33" spans="1:12" ht="18" customHeight="1">
      <c r="A33" s="7">
        <v>29</v>
      </c>
      <c r="B33" s="7" t="str">
        <f>'Inventario Modelo Lógico (corre'!B31</f>
        <v>notificacion</v>
      </c>
      <c r="C33" s="19" t="str">
        <f>'Inventario Modelo Lógico (corre'!C31</f>
        <v>Notificaciones generadas por el sistema para informar eventos al usuario</v>
      </c>
      <c r="D33" s="24"/>
      <c r="E33" s="24"/>
      <c r="F33" s="24"/>
      <c r="G33" s="24"/>
      <c r="H33" s="24"/>
      <c r="I33" s="24"/>
      <c r="J33" s="24"/>
      <c r="K33" s="24"/>
      <c r="L33" s="20"/>
    </row>
    <row r="34" spans="1:12" ht="18" customHeight="1">
      <c r="A34" s="7">
        <v>30</v>
      </c>
      <c r="B34" s="7" t="str">
        <f>'Inventario Modelo Lógico (corre'!B32</f>
        <v>reporte</v>
      </c>
      <c r="C34" s="19" t="str">
        <f>'Inventario Modelo Lógico (corre'!C32</f>
        <v>Reportes de contenido inapropiado realizados por usuarios</v>
      </c>
      <c r="D34" s="24"/>
      <c r="E34" s="24"/>
      <c r="F34" s="24"/>
      <c r="G34" s="24"/>
      <c r="H34" s="24"/>
      <c r="I34" s="24"/>
      <c r="J34" s="24"/>
      <c r="K34" s="24"/>
      <c r="L34" s="20"/>
    </row>
    <row r="35" spans="1:12" ht="15.75" customHeight="1"/>
    <row r="36" spans="1:12" ht="21.75" customHeight="1">
      <c r="A36" s="29" t="s">
        <v>127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9" customHeight="1">
      <c r="A37" s="8">
        <v>1</v>
      </c>
      <c r="B37" s="9" t="s">
        <v>2</v>
      </c>
      <c r="C37" s="22" t="str">
        <f>B5</f>
        <v>programa_academico</v>
      </c>
      <c r="D37" s="20"/>
      <c r="E37" s="23" t="s">
        <v>3</v>
      </c>
      <c r="F37" s="20"/>
      <c r="G37" s="22" t="str">
        <f>C5</f>
        <v>Catálogo de programas académicos ofrecidos por la institución</v>
      </c>
      <c r="H37" s="24"/>
      <c r="I37" s="24"/>
      <c r="J37" s="20"/>
      <c r="K37" s="9" t="s">
        <v>128</v>
      </c>
      <c r="L37" s="10">
        <v>1</v>
      </c>
    </row>
    <row r="38" spans="1:12" ht="27.75" customHeight="1">
      <c r="A38" s="11" t="s">
        <v>1</v>
      </c>
      <c r="B38" s="11" t="s">
        <v>129</v>
      </c>
      <c r="C38" s="11" t="s">
        <v>130</v>
      </c>
      <c r="D38" s="11" t="s">
        <v>131</v>
      </c>
      <c r="E38" s="11" t="s">
        <v>132</v>
      </c>
      <c r="F38" s="11" t="s">
        <v>133</v>
      </c>
      <c r="G38" s="11" t="s">
        <v>134</v>
      </c>
      <c r="H38" s="11" t="s">
        <v>135</v>
      </c>
      <c r="I38" s="11" t="s">
        <v>136</v>
      </c>
      <c r="J38" s="11" t="s">
        <v>137</v>
      </c>
      <c r="K38" s="25" t="s">
        <v>138</v>
      </c>
      <c r="L38" s="20"/>
    </row>
    <row r="39" spans="1:12" ht="18" customHeight="1">
      <c r="A39" s="12">
        <v>1</v>
      </c>
      <c r="B39" s="13" t="s">
        <v>139</v>
      </c>
      <c r="C39" s="13" t="s">
        <v>140</v>
      </c>
      <c r="D39" s="13" t="s">
        <v>95</v>
      </c>
      <c r="E39" s="13" t="s">
        <v>96</v>
      </c>
      <c r="F39" s="13" t="s">
        <v>96</v>
      </c>
      <c r="G39" s="12" t="s">
        <v>141</v>
      </c>
      <c r="H39" s="12" t="s">
        <v>142</v>
      </c>
      <c r="I39" s="12"/>
      <c r="J39" s="12"/>
      <c r="K39" s="19" t="s">
        <v>143</v>
      </c>
      <c r="L39" s="20"/>
    </row>
    <row r="40" spans="1:12" ht="18" customHeight="1">
      <c r="A40" s="12">
        <v>2</v>
      </c>
      <c r="B40" s="13" t="s">
        <v>144</v>
      </c>
      <c r="C40" s="13" t="s">
        <v>145</v>
      </c>
      <c r="D40" s="13" t="s">
        <v>106</v>
      </c>
      <c r="E40" s="13" t="s">
        <v>146</v>
      </c>
      <c r="F40" s="13" t="s">
        <v>146</v>
      </c>
      <c r="G40" s="12" t="s">
        <v>141</v>
      </c>
      <c r="H40" s="12"/>
      <c r="I40" s="12"/>
      <c r="J40" s="12" t="s">
        <v>142</v>
      </c>
      <c r="K40" s="19" t="s">
        <v>147</v>
      </c>
      <c r="L40" s="20"/>
    </row>
    <row r="41" spans="1:12" ht="18" customHeight="1">
      <c r="A41" s="12">
        <v>3</v>
      </c>
      <c r="B41" s="13" t="s">
        <v>148</v>
      </c>
      <c r="C41" s="13" t="s">
        <v>149</v>
      </c>
      <c r="D41" s="13" t="s">
        <v>106</v>
      </c>
      <c r="E41" s="13" t="s">
        <v>150</v>
      </c>
      <c r="F41" s="13" t="s">
        <v>150</v>
      </c>
      <c r="G41" s="12" t="s">
        <v>141</v>
      </c>
      <c r="H41" s="12"/>
      <c r="I41" s="12"/>
      <c r="J41" s="12"/>
      <c r="K41" s="19"/>
      <c r="L41" s="20"/>
    </row>
    <row r="42" spans="1:12" ht="18" customHeight="1">
      <c r="A42" s="12">
        <v>4</v>
      </c>
      <c r="B42" s="13" t="s">
        <v>151</v>
      </c>
      <c r="C42" s="13" t="s">
        <v>152</v>
      </c>
      <c r="D42" s="13" t="s">
        <v>106</v>
      </c>
      <c r="E42" s="13" t="s">
        <v>153</v>
      </c>
      <c r="F42" s="13" t="s">
        <v>153</v>
      </c>
      <c r="G42" s="12"/>
      <c r="H42" s="12"/>
      <c r="I42" s="12"/>
      <c r="J42" s="12"/>
      <c r="K42" s="19"/>
      <c r="L42" s="20"/>
    </row>
    <row r="43" spans="1:12" ht="18" customHeight="1">
      <c r="A43" s="12">
        <v>5</v>
      </c>
      <c r="B43" s="13" t="s">
        <v>154</v>
      </c>
      <c r="C43" s="13" t="s">
        <v>155</v>
      </c>
      <c r="D43" s="13" t="s">
        <v>106</v>
      </c>
      <c r="E43" s="13" t="s">
        <v>156</v>
      </c>
      <c r="F43" s="13" t="s">
        <v>156</v>
      </c>
      <c r="G43" s="12"/>
      <c r="H43" s="12"/>
      <c r="I43" s="12"/>
      <c r="J43" s="12"/>
      <c r="K43" s="19"/>
      <c r="L43" s="20"/>
    </row>
    <row r="44" spans="1:12" ht="15.75" customHeight="1">
      <c r="A44" s="2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ht="39" customHeight="1">
      <c r="A45" s="8">
        <v>2</v>
      </c>
      <c r="B45" s="9" t="s">
        <v>2</v>
      </c>
      <c r="C45" s="22" t="str">
        <f>B6</f>
        <v>habilidad</v>
      </c>
      <c r="D45" s="20"/>
      <c r="E45" s="23" t="s">
        <v>3</v>
      </c>
      <c r="F45" s="20"/>
      <c r="G45" s="22" t="str">
        <f>C6</f>
        <v>Catálogo de habilidades que los usuarios pueden asociar a su perfil</v>
      </c>
      <c r="H45" s="24"/>
      <c r="I45" s="24"/>
      <c r="J45" s="20"/>
      <c r="K45" s="9" t="s">
        <v>128</v>
      </c>
      <c r="L45" s="10">
        <v>1</v>
      </c>
    </row>
    <row r="46" spans="1:12" ht="27.75" customHeight="1">
      <c r="A46" s="11" t="s">
        <v>1</v>
      </c>
      <c r="B46" s="11" t="s">
        <v>129</v>
      </c>
      <c r="C46" s="11" t="s">
        <v>130</v>
      </c>
      <c r="D46" s="11" t="s">
        <v>131</v>
      </c>
      <c r="E46" s="11" t="s">
        <v>132</v>
      </c>
      <c r="F46" s="11" t="s">
        <v>133</v>
      </c>
      <c r="G46" s="11" t="s">
        <v>134</v>
      </c>
      <c r="H46" s="11" t="s">
        <v>135</v>
      </c>
      <c r="I46" s="11" t="s">
        <v>136</v>
      </c>
      <c r="J46" s="11" t="s">
        <v>137</v>
      </c>
      <c r="K46" s="25" t="s">
        <v>138</v>
      </c>
      <c r="L46" s="20"/>
    </row>
    <row r="47" spans="1:12" ht="18" customHeight="1">
      <c r="A47" s="12">
        <v>1</v>
      </c>
      <c r="B47" s="13" t="s">
        <v>157</v>
      </c>
      <c r="C47" s="13" t="s">
        <v>158</v>
      </c>
      <c r="D47" s="13" t="s">
        <v>95</v>
      </c>
      <c r="E47" s="13" t="s">
        <v>96</v>
      </c>
      <c r="F47" s="13" t="s">
        <v>96</v>
      </c>
      <c r="G47" s="12" t="s">
        <v>141</v>
      </c>
      <c r="H47" s="12" t="s">
        <v>142</v>
      </c>
      <c r="I47" s="12"/>
      <c r="J47" s="12"/>
      <c r="K47" s="19" t="s">
        <v>143</v>
      </c>
      <c r="L47" s="20"/>
    </row>
    <row r="48" spans="1:12" ht="18" customHeight="1">
      <c r="A48" s="12">
        <v>2</v>
      </c>
      <c r="B48" s="13" t="s">
        <v>148</v>
      </c>
      <c r="C48" s="13" t="s">
        <v>159</v>
      </c>
      <c r="D48" s="13" t="s">
        <v>106</v>
      </c>
      <c r="E48" s="13" t="s">
        <v>153</v>
      </c>
      <c r="F48" s="13" t="s">
        <v>153</v>
      </c>
      <c r="G48" s="12" t="s">
        <v>141</v>
      </c>
      <c r="H48" s="12"/>
      <c r="I48" s="12"/>
      <c r="J48" s="12" t="s">
        <v>142</v>
      </c>
      <c r="K48" s="19" t="s">
        <v>147</v>
      </c>
      <c r="L48" s="20"/>
    </row>
    <row r="49" spans="1:12" ht="18" customHeight="1">
      <c r="A49" s="12">
        <v>3</v>
      </c>
      <c r="B49" s="13" t="s">
        <v>160</v>
      </c>
      <c r="C49" s="13" t="s">
        <v>161</v>
      </c>
      <c r="D49" s="13" t="s">
        <v>106</v>
      </c>
      <c r="E49" s="13" t="s">
        <v>153</v>
      </c>
      <c r="F49" s="13" t="s">
        <v>153</v>
      </c>
      <c r="G49" s="12"/>
      <c r="H49" s="12"/>
      <c r="I49" s="12"/>
      <c r="J49" s="12"/>
      <c r="K49" s="19"/>
      <c r="L49" s="20"/>
    </row>
    <row r="50" spans="1:12" ht="15.75" customHeight="1">
      <c r="A50" s="2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39" customHeight="1">
      <c r="A51" s="8">
        <v>3</v>
      </c>
      <c r="B51" s="9" t="s">
        <v>2</v>
      </c>
      <c r="C51" s="22" t="str">
        <f>B7</f>
        <v>interes</v>
      </c>
      <c r="D51" s="20"/>
      <c r="E51" s="23" t="s">
        <v>3</v>
      </c>
      <c r="F51" s="20"/>
      <c r="G51" s="22" t="str">
        <f>C7</f>
        <v>Catálogo de áreas de interés disponibles para los usuarios</v>
      </c>
      <c r="H51" s="24"/>
      <c r="I51" s="24"/>
      <c r="J51" s="20"/>
      <c r="K51" s="9" t="s">
        <v>128</v>
      </c>
      <c r="L51" s="10">
        <v>1</v>
      </c>
    </row>
    <row r="52" spans="1:12" ht="27.75" customHeight="1">
      <c r="A52" s="11" t="s">
        <v>1</v>
      </c>
      <c r="B52" s="11" t="s">
        <v>129</v>
      </c>
      <c r="C52" s="11" t="s">
        <v>130</v>
      </c>
      <c r="D52" s="11" t="s">
        <v>131</v>
      </c>
      <c r="E52" s="11" t="s">
        <v>132</v>
      </c>
      <c r="F52" s="11" t="s">
        <v>133</v>
      </c>
      <c r="G52" s="11" t="s">
        <v>134</v>
      </c>
      <c r="H52" s="11" t="s">
        <v>135</v>
      </c>
      <c r="I52" s="11" t="s">
        <v>136</v>
      </c>
      <c r="J52" s="11" t="s">
        <v>137</v>
      </c>
      <c r="K52" s="25" t="s">
        <v>138</v>
      </c>
      <c r="L52" s="20"/>
    </row>
    <row r="53" spans="1:12" ht="18" customHeight="1">
      <c r="A53" s="12">
        <v>1</v>
      </c>
      <c r="B53" s="13" t="s">
        <v>162</v>
      </c>
      <c r="C53" s="13" t="s">
        <v>163</v>
      </c>
      <c r="D53" s="13" t="s">
        <v>95</v>
      </c>
      <c r="E53" s="13" t="s">
        <v>96</v>
      </c>
      <c r="F53" s="13" t="s">
        <v>96</v>
      </c>
      <c r="G53" s="12" t="s">
        <v>141</v>
      </c>
      <c r="H53" s="12" t="s">
        <v>142</v>
      </c>
      <c r="I53" s="12"/>
      <c r="J53" s="12"/>
      <c r="K53" s="19" t="s">
        <v>143</v>
      </c>
      <c r="L53" s="20"/>
    </row>
    <row r="54" spans="1:12" ht="18" customHeight="1">
      <c r="A54" s="12">
        <v>2</v>
      </c>
      <c r="B54" s="13" t="s">
        <v>148</v>
      </c>
      <c r="C54" s="13" t="s">
        <v>164</v>
      </c>
      <c r="D54" s="13" t="s">
        <v>106</v>
      </c>
      <c r="E54" s="13" t="s">
        <v>153</v>
      </c>
      <c r="F54" s="13" t="s">
        <v>153</v>
      </c>
      <c r="G54" s="12" t="s">
        <v>141</v>
      </c>
      <c r="H54" s="12"/>
      <c r="I54" s="12"/>
      <c r="J54" s="12" t="s">
        <v>142</v>
      </c>
      <c r="K54" s="19" t="s">
        <v>147</v>
      </c>
      <c r="L54" s="20"/>
    </row>
    <row r="55" spans="1:12" ht="18" customHeight="1">
      <c r="A55" s="12">
        <v>3</v>
      </c>
      <c r="B55" s="13" t="s">
        <v>160</v>
      </c>
      <c r="C55" s="13" t="s">
        <v>165</v>
      </c>
      <c r="D55" s="13" t="s">
        <v>106</v>
      </c>
      <c r="E55" s="13" t="s">
        <v>153</v>
      </c>
      <c r="F55" s="13" t="s">
        <v>153</v>
      </c>
      <c r="G55" s="12"/>
      <c r="H55" s="12"/>
      <c r="I55" s="12"/>
      <c r="J55" s="12"/>
      <c r="K55" s="19"/>
      <c r="L55" s="20"/>
    </row>
    <row r="56" spans="1:12" ht="15.75" customHeight="1">
      <c r="A56" s="2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 ht="39" customHeight="1">
      <c r="A57" s="8">
        <v>4</v>
      </c>
      <c r="B57" s="9" t="s">
        <v>2</v>
      </c>
      <c r="C57" s="22" t="str">
        <f>B8</f>
        <v>empresa</v>
      </c>
      <c r="D57" s="20"/>
      <c r="E57" s="23" t="s">
        <v>3</v>
      </c>
      <c r="F57" s="20"/>
      <c r="G57" s="22" t="str">
        <f>C8</f>
        <v>Empresas registradas en la plataforma para publicar ofertas laborales</v>
      </c>
      <c r="H57" s="24"/>
      <c r="I57" s="24"/>
      <c r="J57" s="20"/>
      <c r="K57" s="9" t="s">
        <v>128</v>
      </c>
      <c r="L57" s="10">
        <v>1</v>
      </c>
    </row>
    <row r="58" spans="1:12" ht="27.75" customHeight="1">
      <c r="A58" s="11" t="s">
        <v>1</v>
      </c>
      <c r="B58" s="11" t="s">
        <v>129</v>
      </c>
      <c r="C58" s="11" t="s">
        <v>130</v>
      </c>
      <c r="D58" s="11" t="s">
        <v>131</v>
      </c>
      <c r="E58" s="11" t="s">
        <v>132</v>
      </c>
      <c r="F58" s="11" t="s">
        <v>133</v>
      </c>
      <c r="G58" s="11" t="s">
        <v>134</v>
      </c>
      <c r="H58" s="11" t="s">
        <v>135</v>
      </c>
      <c r="I58" s="11" t="s">
        <v>136</v>
      </c>
      <c r="J58" s="11" t="s">
        <v>137</v>
      </c>
      <c r="K58" s="25" t="s">
        <v>138</v>
      </c>
      <c r="L58" s="20"/>
    </row>
    <row r="59" spans="1:12" ht="18" customHeight="1">
      <c r="A59" s="12">
        <v>1</v>
      </c>
      <c r="B59" s="13" t="s">
        <v>166</v>
      </c>
      <c r="C59" s="13" t="s">
        <v>167</v>
      </c>
      <c r="D59" s="13" t="s">
        <v>95</v>
      </c>
      <c r="E59" s="13" t="s">
        <v>96</v>
      </c>
      <c r="F59" s="13" t="s">
        <v>96</v>
      </c>
      <c r="G59" s="12" t="s">
        <v>141</v>
      </c>
      <c r="H59" s="12" t="s">
        <v>142</v>
      </c>
      <c r="I59" s="12"/>
      <c r="J59" s="12"/>
      <c r="K59" s="19" t="s">
        <v>143</v>
      </c>
      <c r="L59" s="20"/>
    </row>
    <row r="60" spans="1:12" ht="18" customHeight="1">
      <c r="A60" s="12">
        <v>2</v>
      </c>
      <c r="B60" s="13" t="s">
        <v>148</v>
      </c>
      <c r="C60" s="13" t="s">
        <v>168</v>
      </c>
      <c r="D60" s="13" t="s">
        <v>106</v>
      </c>
      <c r="E60" s="13" t="s">
        <v>150</v>
      </c>
      <c r="F60" s="13" t="s">
        <v>150</v>
      </c>
      <c r="G60" s="12" t="s">
        <v>141</v>
      </c>
      <c r="H60" s="12"/>
      <c r="I60" s="12"/>
      <c r="J60" s="12"/>
      <c r="K60" s="19"/>
      <c r="L60" s="20"/>
    </row>
    <row r="61" spans="1:12" ht="18" customHeight="1">
      <c r="A61" s="12">
        <v>3</v>
      </c>
      <c r="B61" s="13" t="s">
        <v>169</v>
      </c>
      <c r="C61" s="13" t="s">
        <v>170</v>
      </c>
      <c r="D61" s="13" t="s">
        <v>104</v>
      </c>
      <c r="E61" s="13" t="s">
        <v>105</v>
      </c>
      <c r="F61" s="13" t="s">
        <v>105</v>
      </c>
      <c r="G61" s="12"/>
      <c r="H61" s="12"/>
      <c r="I61" s="12"/>
      <c r="J61" s="12"/>
      <c r="K61" s="19"/>
      <c r="L61" s="20"/>
    </row>
    <row r="62" spans="1:12" ht="18" customHeight="1">
      <c r="A62" s="12">
        <v>4</v>
      </c>
      <c r="B62" s="13" t="s">
        <v>171</v>
      </c>
      <c r="C62" s="13" t="s">
        <v>172</v>
      </c>
      <c r="D62" s="13" t="s">
        <v>115</v>
      </c>
      <c r="E62" s="13" t="s">
        <v>116</v>
      </c>
      <c r="F62" s="13" t="s">
        <v>116</v>
      </c>
      <c r="G62" s="12"/>
      <c r="H62" s="12"/>
      <c r="I62" s="12"/>
      <c r="J62" s="12"/>
      <c r="K62" s="19"/>
      <c r="L62" s="20"/>
    </row>
    <row r="63" spans="1:12" ht="18" customHeight="1">
      <c r="A63" s="12">
        <v>5</v>
      </c>
      <c r="B63" s="13" t="s">
        <v>173</v>
      </c>
      <c r="C63" s="13" t="s">
        <v>174</v>
      </c>
      <c r="D63" s="13" t="s">
        <v>106</v>
      </c>
      <c r="E63" s="13" t="s">
        <v>150</v>
      </c>
      <c r="F63" s="13" t="s">
        <v>150</v>
      </c>
      <c r="G63" s="12"/>
      <c r="H63" s="12"/>
      <c r="I63" s="12"/>
      <c r="J63" s="12"/>
      <c r="K63" s="19"/>
      <c r="L63" s="20"/>
    </row>
    <row r="64" spans="1:12" ht="15.75" customHeight="1">
      <c r="A64" s="2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 ht="39" customHeight="1">
      <c r="A65" s="8">
        <v>5</v>
      </c>
      <c r="B65" s="9" t="s">
        <v>2</v>
      </c>
      <c r="C65" s="22" t="str">
        <f>B9</f>
        <v>usuario</v>
      </c>
      <c r="D65" s="20"/>
      <c r="E65" s="23" t="s">
        <v>3</v>
      </c>
      <c r="F65" s="20"/>
      <c r="G65" s="22" t="str">
        <f>C9</f>
        <v>Supertipo que agrupa a todos los tipos de usuarios de la red social</v>
      </c>
      <c r="H65" s="24"/>
      <c r="I65" s="24"/>
      <c r="J65" s="20"/>
      <c r="K65" s="9" t="s">
        <v>128</v>
      </c>
      <c r="L65" s="10">
        <v>1</v>
      </c>
    </row>
    <row r="66" spans="1:12" ht="27.75" customHeight="1">
      <c r="A66" s="11" t="s">
        <v>1</v>
      </c>
      <c r="B66" s="11" t="s">
        <v>129</v>
      </c>
      <c r="C66" s="11" t="s">
        <v>130</v>
      </c>
      <c r="D66" s="11" t="s">
        <v>131</v>
      </c>
      <c r="E66" s="11" t="s">
        <v>132</v>
      </c>
      <c r="F66" s="11" t="s">
        <v>133</v>
      </c>
      <c r="G66" s="11" t="s">
        <v>134</v>
      </c>
      <c r="H66" s="11" t="s">
        <v>135</v>
      </c>
      <c r="I66" s="11" t="s">
        <v>136</v>
      </c>
      <c r="J66" s="11" t="s">
        <v>137</v>
      </c>
      <c r="K66" s="25" t="s">
        <v>138</v>
      </c>
      <c r="L66" s="20"/>
    </row>
    <row r="67" spans="1:12" ht="18" customHeight="1">
      <c r="A67" s="12">
        <v>1</v>
      </c>
      <c r="B67" s="13" t="s">
        <v>175</v>
      </c>
      <c r="C67" s="13" t="s">
        <v>176</v>
      </c>
      <c r="D67" s="13" t="s">
        <v>95</v>
      </c>
      <c r="E67" s="13" t="s">
        <v>96</v>
      </c>
      <c r="F67" s="13" t="s">
        <v>96</v>
      </c>
      <c r="G67" s="12" t="s">
        <v>141</v>
      </c>
      <c r="H67" s="12" t="s">
        <v>142</v>
      </c>
      <c r="I67" s="12"/>
      <c r="J67" s="12"/>
      <c r="K67" s="19" t="s">
        <v>143</v>
      </c>
      <c r="L67" s="20"/>
    </row>
    <row r="68" spans="1:12" ht="18" customHeight="1">
      <c r="A68" s="12">
        <v>2</v>
      </c>
      <c r="B68" s="13" t="s">
        <v>148</v>
      </c>
      <c r="C68" s="13" t="s">
        <v>177</v>
      </c>
      <c r="D68" s="13" t="s">
        <v>106</v>
      </c>
      <c r="E68" s="13" t="s">
        <v>153</v>
      </c>
      <c r="F68" s="13" t="s">
        <v>153</v>
      </c>
      <c r="G68" s="12"/>
      <c r="H68" s="12"/>
      <c r="I68" s="12"/>
      <c r="J68" s="12"/>
      <c r="K68" s="19"/>
      <c r="L68" s="20"/>
    </row>
    <row r="69" spans="1:12" ht="18" customHeight="1">
      <c r="A69" s="12">
        <v>3</v>
      </c>
      <c r="B69" s="13" t="s">
        <v>178</v>
      </c>
      <c r="C69" s="13" t="s">
        <v>179</v>
      </c>
      <c r="D69" s="13" t="s">
        <v>106</v>
      </c>
      <c r="E69" s="13" t="s">
        <v>153</v>
      </c>
      <c r="F69" s="13" t="s">
        <v>153</v>
      </c>
      <c r="G69" s="12"/>
      <c r="H69" s="12"/>
      <c r="I69" s="12"/>
      <c r="J69" s="12"/>
      <c r="K69" s="19"/>
      <c r="L69" s="20"/>
    </row>
    <row r="70" spans="1:12" ht="18" customHeight="1">
      <c r="A70" s="12">
        <v>4</v>
      </c>
      <c r="B70" s="13" t="s">
        <v>180</v>
      </c>
      <c r="C70" s="13" t="s">
        <v>181</v>
      </c>
      <c r="D70" s="13" t="s">
        <v>106</v>
      </c>
      <c r="E70" s="13" t="s">
        <v>150</v>
      </c>
      <c r="F70" s="13" t="s">
        <v>150</v>
      </c>
      <c r="G70" s="12" t="s">
        <v>141</v>
      </c>
      <c r="H70" s="12"/>
      <c r="I70" s="12"/>
      <c r="J70" s="12" t="s">
        <v>142</v>
      </c>
      <c r="K70" s="19" t="s">
        <v>147</v>
      </c>
      <c r="L70" s="20"/>
    </row>
    <row r="71" spans="1:12" ht="18" customHeight="1">
      <c r="A71" s="12">
        <v>5</v>
      </c>
      <c r="B71" s="13" t="s">
        <v>182</v>
      </c>
      <c r="C71" s="13" t="s">
        <v>183</v>
      </c>
      <c r="D71" s="13" t="s">
        <v>106</v>
      </c>
      <c r="E71" s="13" t="s">
        <v>116</v>
      </c>
      <c r="F71" s="13" t="s">
        <v>116</v>
      </c>
      <c r="G71" s="12"/>
      <c r="H71" s="12"/>
      <c r="I71" s="12"/>
      <c r="J71" s="12"/>
      <c r="K71" s="19" t="s">
        <v>184</v>
      </c>
      <c r="L71" s="20"/>
    </row>
    <row r="72" spans="1:12" ht="18" customHeight="1">
      <c r="A72" s="12">
        <v>6</v>
      </c>
      <c r="B72" s="13" t="s">
        <v>185</v>
      </c>
      <c r="C72" s="13" t="s">
        <v>186</v>
      </c>
      <c r="D72" s="13" t="s">
        <v>110</v>
      </c>
      <c r="E72" s="13" t="s">
        <v>111</v>
      </c>
      <c r="F72" s="13" t="s">
        <v>111</v>
      </c>
      <c r="G72" s="12"/>
      <c r="H72" s="12"/>
      <c r="I72" s="12"/>
      <c r="J72" s="12"/>
      <c r="K72" s="19" t="s">
        <v>187</v>
      </c>
      <c r="L72" s="20"/>
    </row>
    <row r="73" spans="1:12" ht="18" customHeight="1">
      <c r="A73" s="12">
        <v>7</v>
      </c>
      <c r="B73" s="13" t="s">
        <v>188</v>
      </c>
      <c r="C73" s="13" t="s">
        <v>189</v>
      </c>
      <c r="D73" s="13" t="s">
        <v>115</v>
      </c>
      <c r="E73" s="13" t="s">
        <v>116</v>
      </c>
      <c r="F73" s="13" t="s">
        <v>116</v>
      </c>
      <c r="G73" s="12"/>
      <c r="H73" s="12"/>
      <c r="I73" s="12"/>
      <c r="J73" s="12"/>
      <c r="K73" s="19"/>
      <c r="L73" s="20"/>
    </row>
    <row r="74" spans="1:12" ht="18" customHeight="1">
      <c r="A74" s="12">
        <v>8</v>
      </c>
      <c r="B74" s="13" t="s">
        <v>190</v>
      </c>
      <c r="C74" s="13" t="s">
        <v>191</v>
      </c>
      <c r="D74" s="13" t="s">
        <v>104</v>
      </c>
      <c r="E74" s="13" t="s">
        <v>105</v>
      </c>
      <c r="F74" s="13" t="s">
        <v>105</v>
      </c>
      <c r="G74" s="12"/>
      <c r="H74" s="12"/>
      <c r="I74" s="12"/>
      <c r="J74" s="12"/>
      <c r="K74" s="19"/>
      <c r="L74" s="20"/>
    </row>
    <row r="75" spans="1:12" ht="18" customHeight="1">
      <c r="A75" s="12">
        <v>9</v>
      </c>
      <c r="B75" s="13" t="s">
        <v>192</v>
      </c>
      <c r="C75" s="13" t="s">
        <v>193</v>
      </c>
      <c r="D75" s="13" t="s">
        <v>117</v>
      </c>
      <c r="E75" s="13" t="s">
        <v>146</v>
      </c>
      <c r="F75" s="13" t="s">
        <v>146</v>
      </c>
      <c r="G75" s="12"/>
      <c r="H75" s="12"/>
      <c r="I75" s="12"/>
      <c r="J75" s="12"/>
      <c r="K75" s="19" t="s">
        <v>194</v>
      </c>
      <c r="L75" s="20"/>
    </row>
    <row r="76" spans="1:12" ht="15.75" customHeight="1">
      <c r="A76" s="2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12" ht="39" customHeight="1">
      <c r="A77" s="8">
        <v>6</v>
      </c>
      <c r="B77" s="9" t="s">
        <v>2</v>
      </c>
      <c r="C77" s="22" t="str">
        <f>B10</f>
        <v>estudiante</v>
      </c>
      <c r="D77" s="20"/>
      <c r="E77" s="23" t="s">
        <v>3</v>
      </c>
      <c r="F77" s="20"/>
      <c r="G77" s="22" t="str">
        <f>C10</f>
        <v>Subtipo de usuario: estudiante activo de la institución</v>
      </c>
      <c r="H77" s="24"/>
      <c r="I77" s="24"/>
      <c r="J77" s="20"/>
      <c r="K77" s="9" t="s">
        <v>128</v>
      </c>
      <c r="L77" s="10">
        <v>1</v>
      </c>
    </row>
    <row r="78" spans="1:12" ht="27.75" customHeight="1">
      <c r="A78" s="11" t="s">
        <v>1</v>
      </c>
      <c r="B78" s="11" t="s">
        <v>129</v>
      </c>
      <c r="C78" s="11" t="s">
        <v>130</v>
      </c>
      <c r="D78" s="11" t="s">
        <v>131</v>
      </c>
      <c r="E78" s="11" t="s">
        <v>132</v>
      </c>
      <c r="F78" s="11" t="s">
        <v>133</v>
      </c>
      <c r="G78" s="11" t="s">
        <v>134</v>
      </c>
      <c r="H78" s="11" t="s">
        <v>135</v>
      </c>
      <c r="I78" s="11" t="s">
        <v>136</v>
      </c>
      <c r="J78" s="11" t="s">
        <v>137</v>
      </c>
      <c r="K78" s="25" t="s">
        <v>138</v>
      </c>
      <c r="L78" s="20"/>
    </row>
    <row r="79" spans="1:12" ht="18" customHeight="1">
      <c r="A79" s="12">
        <v>1</v>
      </c>
      <c r="B79" s="13" t="s">
        <v>175</v>
      </c>
      <c r="C79" s="13" t="s">
        <v>195</v>
      </c>
      <c r="D79" s="13" t="s">
        <v>98</v>
      </c>
      <c r="E79" s="13" t="s">
        <v>196</v>
      </c>
      <c r="F79" s="13" t="s">
        <v>196</v>
      </c>
      <c r="G79" s="12" t="s">
        <v>141</v>
      </c>
      <c r="H79" s="12" t="s">
        <v>142</v>
      </c>
      <c r="I79" s="12" t="s">
        <v>142</v>
      </c>
      <c r="J79" s="12"/>
      <c r="K79" s="19" t="s">
        <v>197</v>
      </c>
      <c r="L79" s="20"/>
    </row>
    <row r="80" spans="1:12" ht="18" customHeight="1">
      <c r="A80" s="12">
        <v>2</v>
      </c>
      <c r="B80" s="13" t="s">
        <v>198</v>
      </c>
      <c r="C80" s="13" t="s">
        <v>199</v>
      </c>
      <c r="D80" s="13" t="s">
        <v>106</v>
      </c>
      <c r="E80" s="13" t="s">
        <v>146</v>
      </c>
      <c r="F80" s="13" t="s">
        <v>146</v>
      </c>
      <c r="G80" s="12"/>
      <c r="H80" s="12"/>
      <c r="I80" s="12"/>
      <c r="J80" s="12"/>
      <c r="K80" s="19"/>
      <c r="L80" s="20"/>
    </row>
    <row r="81" spans="1:12" ht="18" customHeight="1">
      <c r="A81" s="12">
        <v>3</v>
      </c>
      <c r="B81" s="13" t="s">
        <v>200</v>
      </c>
      <c r="C81" s="13" t="s">
        <v>201</v>
      </c>
      <c r="D81" s="13" t="s">
        <v>98</v>
      </c>
      <c r="E81" s="13" t="s">
        <v>202</v>
      </c>
      <c r="F81" s="13" t="s">
        <v>202</v>
      </c>
      <c r="G81" s="12"/>
      <c r="H81" s="12"/>
      <c r="I81" s="12"/>
      <c r="J81" s="12"/>
      <c r="K81" s="19" t="s">
        <v>203</v>
      </c>
      <c r="L81" s="20"/>
    </row>
    <row r="82" spans="1:12" ht="18" customHeight="1">
      <c r="A82" s="12">
        <v>4</v>
      </c>
      <c r="B82" s="13" t="s">
        <v>139</v>
      </c>
      <c r="C82" s="13" t="s">
        <v>204</v>
      </c>
      <c r="D82" s="13" t="s">
        <v>98</v>
      </c>
      <c r="E82" s="13" t="s">
        <v>196</v>
      </c>
      <c r="F82" s="13" t="s">
        <v>196</v>
      </c>
      <c r="G82" s="12"/>
      <c r="H82" s="12"/>
      <c r="I82" s="12" t="s">
        <v>142</v>
      </c>
      <c r="J82" s="12"/>
      <c r="K82" s="19" t="s">
        <v>205</v>
      </c>
      <c r="L82" s="20"/>
    </row>
    <row r="83" spans="1:12" ht="15.75" customHeight="1">
      <c r="A83" s="2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2" ht="39" customHeight="1">
      <c r="A84" s="8">
        <v>7</v>
      </c>
      <c r="B84" s="9" t="s">
        <v>2</v>
      </c>
      <c r="C84" s="22" t="str">
        <f>B11</f>
        <v>docente</v>
      </c>
      <c r="D84" s="20"/>
      <c r="E84" s="23" t="s">
        <v>3</v>
      </c>
      <c r="F84" s="20"/>
      <c r="G84" s="22" t="str">
        <f>C11</f>
        <v>Subtipo de usuario: docente vinculado a la institución</v>
      </c>
      <c r="H84" s="24"/>
      <c r="I84" s="24"/>
      <c r="J84" s="20"/>
      <c r="K84" s="9" t="s">
        <v>128</v>
      </c>
      <c r="L84" s="10">
        <v>1</v>
      </c>
    </row>
    <row r="85" spans="1:12" ht="27.75" customHeight="1">
      <c r="A85" s="11" t="s">
        <v>1</v>
      </c>
      <c r="B85" s="11" t="s">
        <v>129</v>
      </c>
      <c r="C85" s="11" t="s">
        <v>130</v>
      </c>
      <c r="D85" s="11" t="s">
        <v>131</v>
      </c>
      <c r="E85" s="11" t="s">
        <v>132</v>
      </c>
      <c r="F85" s="11" t="s">
        <v>133</v>
      </c>
      <c r="G85" s="11" t="s">
        <v>134</v>
      </c>
      <c r="H85" s="11" t="s">
        <v>135</v>
      </c>
      <c r="I85" s="11" t="s">
        <v>136</v>
      </c>
      <c r="J85" s="11" t="s">
        <v>137</v>
      </c>
      <c r="K85" s="25" t="s">
        <v>138</v>
      </c>
      <c r="L85" s="20"/>
    </row>
    <row r="86" spans="1:12" ht="18" customHeight="1">
      <c r="A86" s="12">
        <v>1</v>
      </c>
      <c r="B86" s="13" t="s">
        <v>175</v>
      </c>
      <c r="C86" s="13" t="s">
        <v>195</v>
      </c>
      <c r="D86" s="13" t="s">
        <v>98</v>
      </c>
      <c r="E86" s="13" t="s">
        <v>196</v>
      </c>
      <c r="F86" s="13" t="s">
        <v>196</v>
      </c>
      <c r="G86" s="12" t="s">
        <v>141</v>
      </c>
      <c r="H86" s="12" t="s">
        <v>142</v>
      </c>
      <c r="I86" s="12" t="s">
        <v>142</v>
      </c>
      <c r="J86" s="12"/>
      <c r="K86" s="19" t="s">
        <v>197</v>
      </c>
      <c r="L86" s="20"/>
    </row>
    <row r="87" spans="1:12" ht="18" customHeight="1">
      <c r="A87" s="12">
        <v>2</v>
      </c>
      <c r="B87" s="13" t="s">
        <v>206</v>
      </c>
      <c r="C87" s="13" t="s">
        <v>207</v>
      </c>
      <c r="D87" s="13" t="s">
        <v>106</v>
      </c>
      <c r="E87" s="13" t="s">
        <v>146</v>
      </c>
      <c r="F87" s="13" t="s">
        <v>146</v>
      </c>
      <c r="G87" s="12"/>
      <c r="H87" s="12"/>
      <c r="I87" s="12"/>
      <c r="J87" s="12"/>
      <c r="K87" s="19"/>
      <c r="L87" s="20"/>
    </row>
    <row r="88" spans="1:12" ht="18" customHeight="1">
      <c r="A88" s="12">
        <v>3</v>
      </c>
      <c r="B88" s="13" t="s">
        <v>208</v>
      </c>
      <c r="C88" s="13" t="s">
        <v>209</v>
      </c>
      <c r="D88" s="13" t="s">
        <v>106</v>
      </c>
      <c r="E88" s="13" t="s">
        <v>153</v>
      </c>
      <c r="F88" s="13" t="s">
        <v>153</v>
      </c>
      <c r="G88" s="12"/>
      <c r="H88" s="12"/>
      <c r="I88" s="12"/>
      <c r="J88" s="12"/>
      <c r="K88" s="19"/>
      <c r="L88" s="20"/>
    </row>
    <row r="89" spans="1:12" ht="18" customHeight="1">
      <c r="A89" s="12">
        <v>4</v>
      </c>
      <c r="B89" s="13" t="s">
        <v>210</v>
      </c>
      <c r="C89" s="13" t="s">
        <v>211</v>
      </c>
      <c r="D89" s="13" t="s">
        <v>106</v>
      </c>
      <c r="E89" s="13" t="s">
        <v>150</v>
      </c>
      <c r="F89" s="13" t="s">
        <v>150</v>
      </c>
      <c r="G89" s="12"/>
      <c r="H89" s="12"/>
      <c r="I89" s="12"/>
      <c r="J89" s="12"/>
      <c r="K89" s="19"/>
      <c r="L89" s="20"/>
    </row>
    <row r="90" spans="1:12" ht="15.75" customHeight="1">
      <c r="A90" s="2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1:12" ht="39" customHeight="1">
      <c r="A91" s="8">
        <v>8</v>
      </c>
      <c r="B91" s="9" t="s">
        <v>2</v>
      </c>
      <c r="C91" s="22" t="str">
        <f>B12</f>
        <v>empleado</v>
      </c>
      <c r="D91" s="20"/>
      <c r="E91" s="23" t="s">
        <v>3</v>
      </c>
      <c r="F91" s="20"/>
      <c r="G91" s="22" t="str">
        <f>C12</f>
        <v>Subtipo de usuario: empleado administrativo de la institución</v>
      </c>
      <c r="H91" s="24"/>
      <c r="I91" s="24"/>
      <c r="J91" s="20"/>
      <c r="K91" s="9" t="s">
        <v>128</v>
      </c>
      <c r="L91" s="10">
        <v>1</v>
      </c>
    </row>
    <row r="92" spans="1:12" ht="27.75" customHeight="1">
      <c r="A92" s="11" t="s">
        <v>1</v>
      </c>
      <c r="B92" s="11" t="s">
        <v>129</v>
      </c>
      <c r="C92" s="11" t="s">
        <v>130</v>
      </c>
      <c r="D92" s="11" t="s">
        <v>131</v>
      </c>
      <c r="E92" s="11" t="s">
        <v>132</v>
      </c>
      <c r="F92" s="11" t="s">
        <v>133</v>
      </c>
      <c r="G92" s="11" t="s">
        <v>134</v>
      </c>
      <c r="H92" s="11" t="s">
        <v>135</v>
      </c>
      <c r="I92" s="11" t="s">
        <v>136</v>
      </c>
      <c r="J92" s="11" t="s">
        <v>137</v>
      </c>
      <c r="K92" s="25" t="s">
        <v>138</v>
      </c>
      <c r="L92" s="20"/>
    </row>
    <row r="93" spans="1:12" ht="18" customHeight="1">
      <c r="A93" s="12">
        <v>1</v>
      </c>
      <c r="B93" s="13" t="s">
        <v>175</v>
      </c>
      <c r="C93" s="13" t="s">
        <v>195</v>
      </c>
      <c r="D93" s="13" t="s">
        <v>98</v>
      </c>
      <c r="E93" s="13" t="s">
        <v>196</v>
      </c>
      <c r="F93" s="13" t="s">
        <v>196</v>
      </c>
      <c r="G93" s="12" t="s">
        <v>141</v>
      </c>
      <c r="H93" s="12" t="s">
        <v>142</v>
      </c>
      <c r="I93" s="12" t="s">
        <v>142</v>
      </c>
      <c r="J93" s="12"/>
      <c r="K93" s="19" t="s">
        <v>197</v>
      </c>
      <c r="L93" s="20"/>
    </row>
    <row r="94" spans="1:12" ht="18" customHeight="1">
      <c r="A94" s="12">
        <v>2</v>
      </c>
      <c r="B94" s="13" t="s">
        <v>212</v>
      </c>
      <c r="C94" s="13" t="s">
        <v>213</v>
      </c>
      <c r="D94" s="13" t="s">
        <v>106</v>
      </c>
      <c r="E94" s="13" t="s">
        <v>146</v>
      </c>
      <c r="F94" s="13" t="s">
        <v>146</v>
      </c>
      <c r="G94" s="12"/>
      <c r="H94" s="12"/>
      <c r="I94" s="12"/>
      <c r="J94" s="12"/>
      <c r="K94" s="19"/>
      <c r="L94" s="20"/>
    </row>
    <row r="95" spans="1:12" ht="18" customHeight="1">
      <c r="A95" s="12">
        <v>3</v>
      </c>
      <c r="B95" s="13" t="s">
        <v>214</v>
      </c>
      <c r="C95" s="13" t="s">
        <v>215</v>
      </c>
      <c r="D95" s="13" t="s">
        <v>106</v>
      </c>
      <c r="E95" s="13" t="s">
        <v>153</v>
      </c>
      <c r="F95" s="13" t="s">
        <v>153</v>
      </c>
      <c r="G95" s="12"/>
      <c r="H95" s="12"/>
      <c r="I95" s="12"/>
      <c r="J95" s="12"/>
      <c r="K95" s="19"/>
      <c r="L95" s="20"/>
    </row>
    <row r="96" spans="1:12" ht="18" customHeight="1">
      <c r="A96" s="12">
        <v>4</v>
      </c>
      <c r="B96" s="13" t="s">
        <v>216</v>
      </c>
      <c r="C96" s="13" t="s">
        <v>217</v>
      </c>
      <c r="D96" s="13" t="s">
        <v>106</v>
      </c>
      <c r="E96" s="13" t="s">
        <v>150</v>
      </c>
      <c r="F96" s="13" t="s">
        <v>150</v>
      </c>
      <c r="G96" s="12"/>
      <c r="H96" s="12"/>
      <c r="I96" s="12"/>
      <c r="J96" s="12"/>
      <c r="K96" s="19"/>
      <c r="L96" s="20"/>
    </row>
    <row r="97" spans="1:12" ht="15.75" customHeight="1">
      <c r="A97" s="2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1:12" ht="39" customHeight="1">
      <c r="A98" s="8">
        <v>9</v>
      </c>
      <c r="B98" s="9" t="s">
        <v>2</v>
      </c>
      <c r="C98" s="22" t="str">
        <f>B13</f>
        <v>egresado</v>
      </c>
      <c r="D98" s="20"/>
      <c r="E98" s="23" t="s">
        <v>3</v>
      </c>
      <c r="F98" s="20"/>
      <c r="G98" s="22" t="str">
        <f>C13</f>
        <v>Subtipo de usuario: graduado de la institución</v>
      </c>
      <c r="H98" s="24"/>
      <c r="I98" s="24"/>
      <c r="J98" s="20"/>
      <c r="K98" s="9" t="s">
        <v>128</v>
      </c>
      <c r="L98" s="10">
        <v>1</v>
      </c>
    </row>
    <row r="99" spans="1:12" ht="27.75" customHeight="1">
      <c r="A99" s="11" t="s">
        <v>1</v>
      </c>
      <c r="B99" s="11" t="s">
        <v>129</v>
      </c>
      <c r="C99" s="11" t="s">
        <v>130</v>
      </c>
      <c r="D99" s="11" t="s">
        <v>131</v>
      </c>
      <c r="E99" s="11" t="s">
        <v>132</v>
      </c>
      <c r="F99" s="11" t="s">
        <v>133</v>
      </c>
      <c r="G99" s="11" t="s">
        <v>134</v>
      </c>
      <c r="H99" s="11" t="s">
        <v>135</v>
      </c>
      <c r="I99" s="11" t="s">
        <v>136</v>
      </c>
      <c r="J99" s="11" t="s">
        <v>137</v>
      </c>
      <c r="K99" s="25" t="s">
        <v>138</v>
      </c>
      <c r="L99" s="20"/>
    </row>
    <row r="100" spans="1:12" ht="18" customHeight="1">
      <c r="A100" s="12">
        <v>1</v>
      </c>
      <c r="B100" s="13" t="s">
        <v>175</v>
      </c>
      <c r="C100" s="13" t="s">
        <v>195</v>
      </c>
      <c r="D100" s="13" t="s">
        <v>98</v>
      </c>
      <c r="E100" s="13" t="s">
        <v>196</v>
      </c>
      <c r="F100" s="13" t="s">
        <v>196</v>
      </c>
      <c r="G100" s="12" t="s">
        <v>141</v>
      </c>
      <c r="H100" s="12" t="s">
        <v>142</v>
      </c>
      <c r="I100" s="12" t="s">
        <v>142</v>
      </c>
      <c r="J100" s="12"/>
      <c r="K100" s="19" t="s">
        <v>197</v>
      </c>
      <c r="L100" s="20"/>
    </row>
    <row r="101" spans="1:12" ht="18" customHeight="1">
      <c r="A101" s="12">
        <v>2</v>
      </c>
      <c r="B101" s="13" t="s">
        <v>218</v>
      </c>
      <c r="C101" s="13" t="s">
        <v>219</v>
      </c>
      <c r="D101" s="13" t="s">
        <v>98</v>
      </c>
      <c r="E101" s="13" t="s">
        <v>202</v>
      </c>
      <c r="F101" s="13" t="s">
        <v>202</v>
      </c>
      <c r="G101" s="12"/>
      <c r="H101" s="12"/>
      <c r="I101" s="12"/>
      <c r="J101" s="12"/>
      <c r="K101" s="19"/>
      <c r="L101" s="20"/>
    </row>
    <row r="102" spans="1:12" ht="18" customHeight="1">
      <c r="A102" s="12">
        <v>3</v>
      </c>
      <c r="B102" s="13" t="s">
        <v>220</v>
      </c>
      <c r="C102" s="13" t="s">
        <v>221</v>
      </c>
      <c r="D102" s="13" t="s">
        <v>106</v>
      </c>
      <c r="E102" s="13" t="s">
        <v>153</v>
      </c>
      <c r="F102" s="13" t="s">
        <v>153</v>
      </c>
      <c r="G102" s="12"/>
      <c r="H102" s="12"/>
      <c r="I102" s="12"/>
      <c r="J102" s="12"/>
      <c r="K102" s="19"/>
      <c r="L102" s="20"/>
    </row>
    <row r="103" spans="1:12" ht="18" customHeight="1">
      <c r="A103" s="12">
        <v>4</v>
      </c>
      <c r="B103" s="13" t="s">
        <v>222</v>
      </c>
      <c r="C103" s="13" t="s">
        <v>223</v>
      </c>
      <c r="D103" s="13" t="s">
        <v>106</v>
      </c>
      <c r="E103" s="13" t="s">
        <v>150</v>
      </c>
      <c r="F103" s="13" t="s">
        <v>150</v>
      </c>
      <c r="G103" s="12"/>
      <c r="H103" s="12"/>
      <c r="I103" s="12"/>
      <c r="J103" s="12"/>
      <c r="K103" s="19"/>
      <c r="L103" s="20"/>
    </row>
    <row r="104" spans="1:12" ht="18" customHeight="1">
      <c r="A104" s="12">
        <v>5</v>
      </c>
      <c r="B104" s="13" t="s">
        <v>139</v>
      </c>
      <c r="C104" s="13" t="s">
        <v>224</v>
      </c>
      <c r="D104" s="13" t="s">
        <v>98</v>
      </c>
      <c r="E104" s="13" t="s">
        <v>196</v>
      </c>
      <c r="F104" s="13" t="s">
        <v>196</v>
      </c>
      <c r="G104" s="12"/>
      <c r="H104" s="12"/>
      <c r="I104" s="12" t="s">
        <v>142</v>
      </c>
      <c r="J104" s="12"/>
      <c r="K104" s="19" t="s">
        <v>205</v>
      </c>
      <c r="L104" s="20"/>
    </row>
    <row r="105" spans="1:12" ht="15.75" customHeight="1">
      <c r="A105" s="2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1:12" ht="39" customHeight="1">
      <c r="A106" s="8">
        <v>10</v>
      </c>
      <c r="B106" s="9" t="s">
        <v>2</v>
      </c>
      <c r="C106" s="22" t="str">
        <f>B14</f>
        <v>publico_general</v>
      </c>
      <c r="D106" s="20"/>
      <c r="E106" s="23" t="s">
        <v>3</v>
      </c>
      <c r="F106" s="20"/>
      <c r="G106" s="22" t="str">
        <f>C14</f>
        <v>Subtipo de usuario: persona externa sin vínculo institucional formal</v>
      </c>
      <c r="H106" s="24"/>
      <c r="I106" s="24"/>
      <c r="J106" s="20"/>
      <c r="K106" s="9" t="s">
        <v>128</v>
      </c>
      <c r="L106" s="10">
        <v>1</v>
      </c>
    </row>
    <row r="107" spans="1:12" ht="27.75" customHeight="1">
      <c r="A107" s="11" t="s">
        <v>1</v>
      </c>
      <c r="B107" s="11" t="s">
        <v>129</v>
      </c>
      <c r="C107" s="11" t="s">
        <v>130</v>
      </c>
      <c r="D107" s="11" t="s">
        <v>131</v>
      </c>
      <c r="E107" s="11" t="s">
        <v>132</v>
      </c>
      <c r="F107" s="11" t="s">
        <v>133</v>
      </c>
      <c r="G107" s="11" t="s">
        <v>134</v>
      </c>
      <c r="H107" s="11" t="s">
        <v>135</v>
      </c>
      <c r="I107" s="11" t="s">
        <v>136</v>
      </c>
      <c r="J107" s="11" t="s">
        <v>137</v>
      </c>
      <c r="K107" s="25" t="s">
        <v>138</v>
      </c>
      <c r="L107" s="20"/>
    </row>
    <row r="108" spans="1:12" ht="18" customHeight="1">
      <c r="A108" s="12">
        <v>1</v>
      </c>
      <c r="B108" s="13" t="s">
        <v>175</v>
      </c>
      <c r="C108" s="13" t="s">
        <v>195</v>
      </c>
      <c r="D108" s="13" t="s">
        <v>98</v>
      </c>
      <c r="E108" s="13" t="s">
        <v>196</v>
      </c>
      <c r="F108" s="13" t="s">
        <v>196</v>
      </c>
      <c r="G108" s="12" t="s">
        <v>141</v>
      </c>
      <c r="H108" s="12" t="s">
        <v>142</v>
      </c>
      <c r="I108" s="12" t="s">
        <v>142</v>
      </c>
      <c r="J108" s="12"/>
      <c r="K108" s="19" t="s">
        <v>197</v>
      </c>
      <c r="L108" s="20"/>
    </row>
    <row r="109" spans="1:12" ht="18" customHeight="1">
      <c r="A109" s="12">
        <v>2</v>
      </c>
      <c r="B109" s="13" t="s">
        <v>225</v>
      </c>
      <c r="C109" s="13" t="s">
        <v>226</v>
      </c>
      <c r="D109" s="13" t="s">
        <v>106</v>
      </c>
      <c r="E109" s="13" t="s">
        <v>150</v>
      </c>
      <c r="F109" s="13" t="s">
        <v>150</v>
      </c>
      <c r="G109" s="12"/>
      <c r="H109" s="12"/>
      <c r="I109" s="12"/>
      <c r="J109" s="12"/>
      <c r="K109" s="19"/>
      <c r="L109" s="20"/>
    </row>
    <row r="110" spans="1:12" ht="18" customHeight="1">
      <c r="A110" s="12">
        <v>3</v>
      </c>
      <c r="B110" s="13" t="s">
        <v>227</v>
      </c>
      <c r="C110" s="13" t="s">
        <v>228</v>
      </c>
      <c r="D110" s="13" t="s">
        <v>106</v>
      </c>
      <c r="E110" s="13" t="s">
        <v>153</v>
      </c>
      <c r="F110" s="13" t="s">
        <v>153</v>
      </c>
      <c r="G110" s="12"/>
      <c r="H110" s="12"/>
      <c r="I110" s="12"/>
      <c r="J110" s="12"/>
      <c r="K110" s="19"/>
      <c r="L110" s="20"/>
    </row>
    <row r="111" spans="1:12" ht="15.75" customHeight="1">
      <c r="A111" s="2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ht="39" customHeight="1">
      <c r="A112" s="8">
        <v>11</v>
      </c>
      <c r="B112" s="9" t="s">
        <v>2</v>
      </c>
      <c r="C112" s="22" t="str">
        <f>B15</f>
        <v>usuario_habilidad</v>
      </c>
      <c r="D112" s="20"/>
      <c r="E112" s="23" t="s">
        <v>3</v>
      </c>
      <c r="F112" s="20"/>
      <c r="G112" s="22" t="str">
        <f>C15</f>
        <v>Tabla pivote N:M entre usuario y habilidad</v>
      </c>
      <c r="H112" s="24"/>
      <c r="I112" s="24"/>
      <c r="J112" s="20"/>
      <c r="K112" s="9" t="s">
        <v>128</v>
      </c>
      <c r="L112" s="10">
        <v>1</v>
      </c>
    </row>
    <row r="113" spans="1:12" ht="27.75" customHeight="1">
      <c r="A113" s="11" t="s">
        <v>1</v>
      </c>
      <c r="B113" s="11" t="s">
        <v>129</v>
      </c>
      <c r="C113" s="11" t="s">
        <v>130</v>
      </c>
      <c r="D113" s="11" t="s">
        <v>131</v>
      </c>
      <c r="E113" s="11" t="s">
        <v>132</v>
      </c>
      <c r="F113" s="11" t="s">
        <v>133</v>
      </c>
      <c r="G113" s="11" t="s">
        <v>134</v>
      </c>
      <c r="H113" s="11" t="s">
        <v>135</v>
      </c>
      <c r="I113" s="11" t="s">
        <v>136</v>
      </c>
      <c r="J113" s="11" t="s">
        <v>137</v>
      </c>
      <c r="K113" s="25" t="s">
        <v>138</v>
      </c>
      <c r="L113" s="20"/>
    </row>
    <row r="114" spans="1:12" ht="18" customHeight="1">
      <c r="A114" s="12">
        <v>1</v>
      </c>
      <c r="B114" s="13" t="s">
        <v>175</v>
      </c>
      <c r="C114" s="13" t="s">
        <v>229</v>
      </c>
      <c r="D114" s="13" t="s">
        <v>98</v>
      </c>
      <c r="E114" s="13" t="s">
        <v>196</v>
      </c>
      <c r="F114" s="13" t="s">
        <v>196</v>
      </c>
      <c r="G114" s="12" t="s">
        <v>141</v>
      </c>
      <c r="H114" s="12" t="s">
        <v>142</v>
      </c>
      <c r="I114" s="12" t="s">
        <v>142</v>
      </c>
      <c r="J114" s="12"/>
      <c r="K114" s="19" t="s">
        <v>230</v>
      </c>
      <c r="L114" s="20"/>
    </row>
    <row r="115" spans="1:12" ht="18" customHeight="1">
      <c r="A115" s="12">
        <v>2</v>
      </c>
      <c r="B115" s="13" t="s">
        <v>157</v>
      </c>
      <c r="C115" s="13" t="s">
        <v>231</v>
      </c>
      <c r="D115" s="13" t="s">
        <v>98</v>
      </c>
      <c r="E115" s="13" t="s">
        <v>196</v>
      </c>
      <c r="F115" s="13" t="s">
        <v>196</v>
      </c>
      <c r="G115" s="12" t="s">
        <v>141</v>
      </c>
      <c r="H115" s="12" t="s">
        <v>142</v>
      </c>
      <c r="I115" s="12" t="s">
        <v>142</v>
      </c>
      <c r="J115" s="12"/>
      <c r="K115" s="19" t="s">
        <v>230</v>
      </c>
      <c r="L115" s="20"/>
    </row>
    <row r="116" spans="1:12" ht="15.75" customHeight="1">
      <c r="A116" s="2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 ht="39" customHeight="1">
      <c r="A117" s="8">
        <v>12</v>
      </c>
      <c r="B117" s="9" t="s">
        <v>2</v>
      </c>
      <c r="C117" s="22" t="str">
        <f>B16</f>
        <v>usuario_interes</v>
      </c>
      <c r="D117" s="20"/>
      <c r="E117" s="23" t="s">
        <v>3</v>
      </c>
      <c r="F117" s="20"/>
      <c r="G117" s="22" t="str">
        <f>C16</f>
        <v>Tabla pivote N:M entre usuario y área de interés</v>
      </c>
      <c r="H117" s="24"/>
      <c r="I117" s="24"/>
      <c r="J117" s="20"/>
      <c r="K117" s="9" t="s">
        <v>128</v>
      </c>
      <c r="L117" s="10">
        <v>1</v>
      </c>
    </row>
    <row r="118" spans="1:12" ht="27.75" customHeight="1">
      <c r="A118" s="11" t="s">
        <v>1</v>
      </c>
      <c r="B118" s="11" t="s">
        <v>129</v>
      </c>
      <c r="C118" s="11" t="s">
        <v>130</v>
      </c>
      <c r="D118" s="11" t="s">
        <v>131</v>
      </c>
      <c r="E118" s="11" t="s">
        <v>132</v>
      </c>
      <c r="F118" s="11" t="s">
        <v>133</v>
      </c>
      <c r="G118" s="11" t="s">
        <v>134</v>
      </c>
      <c r="H118" s="11" t="s">
        <v>135</v>
      </c>
      <c r="I118" s="11" t="s">
        <v>136</v>
      </c>
      <c r="J118" s="11" t="s">
        <v>137</v>
      </c>
      <c r="K118" s="25" t="s">
        <v>138</v>
      </c>
      <c r="L118" s="20"/>
    </row>
    <row r="119" spans="1:12" ht="18" customHeight="1">
      <c r="A119" s="12">
        <v>1</v>
      </c>
      <c r="B119" s="13" t="s">
        <v>175</v>
      </c>
      <c r="C119" s="13" t="s">
        <v>229</v>
      </c>
      <c r="D119" s="13" t="s">
        <v>98</v>
      </c>
      <c r="E119" s="13" t="s">
        <v>196</v>
      </c>
      <c r="F119" s="13" t="s">
        <v>196</v>
      </c>
      <c r="G119" s="12" t="s">
        <v>141</v>
      </c>
      <c r="H119" s="12" t="s">
        <v>142</v>
      </c>
      <c r="I119" s="12" t="s">
        <v>142</v>
      </c>
      <c r="J119" s="12"/>
      <c r="K119" s="19" t="s">
        <v>230</v>
      </c>
      <c r="L119" s="20"/>
    </row>
    <row r="120" spans="1:12" ht="18" customHeight="1">
      <c r="A120" s="12">
        <v>2</v>
      </c>
      <c r="B120" s="13" t="s">
        <v>162</v>
      </c>
      <c r="C120" s="13" t="s">
        <v>232</v>
      </c>
      <c r="D120" s="13" t="s">
        <v>98</v>
      </c>
      <c r="E120" s="13" t="s">
        <v>196</v>
      </c>
      <c r="F120" s="13" t="s">
        <v>196</v>
      </c>
      <c r="G120" s="12" t="s">
        <v>141</v>
      </c>
      <c r="H120" s="12" t="s">
        <v>142</v>
      </c>
      <c r="I120" s="12" t="s">
        <v>142</v>
      </c>
      <c r="J120" s="12"/>
      <c r="K120" s="19" t="s">
        <v>230</v>
      </c>
      <c r="L120" s="20"/>
    </row>
    <row r="121" spans="1:12" ht="15.75" customHeight="1">
      <c r="A121" s="2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1:12" ht="39" customHeight="1">
      <c r="A122" s="8">
        <v>13</v>
      </c>
      <c r="B122" s="9" t="s">
        <v>2</v>
      </c>
      <c r="C122" s="22" t="str">
        <f>B17</f>
        <v>seguimiento</v>
      </c>
      <c r="D122" s="20"/>
      <c r="E122" s="23" t="s">
        <v>3</v>
      </c>
      <c r="F122" s="20"/>
      <c r="G122" s="22" t="str">
        <f>C17</f>
        <v>Relación reflexiva N:M que modela el seguimiento entre usuarios</v>
      </c>
      <c r="H122" s="24"/>
      <c r="I122" s="24"/>
      <c r="J122" s="20"/>
      <c r="K122" s="9" t="s">
        <v>128</v>
      </c>
      <c r="L122" s="10">
        <v>1</v>
      </c>
    </row>
    <row r="123" spans="1:12" ht="27.75" customHeight="1">
      <c r="A123" s="11" t="s">
        <v>1</v>
      </c>
      <c r="B123" s="11" t="s">
        <v>129</v>
      </c>
      <c r="C123" s="11" t="s">
        <v>130</v>
      </c>
      <c r="D123" s="11" t="s">
        <v>131</v>
      </c>
      <c r="E123" s="11" t="s">
        <v>132</v>
      </c>
      <c r="F123" s="11" t="s">
        <v>133</v>
      </c>
      <c r="G123" s="11" t="s">
        <v>134</v>
      </c>
      <c r="H123" s="11" t="s">
        <v>135</v>
      </c>
      <c r="I123" s="11" t="s">
        <v>136</v>
      </c>
      <c r="J123" s="11" t="s">
        <v>137</v>
      </c>
      <c r="K123" s="25" t="s">
        <v>138</v>
      </c>
      <c r="L123" s="20"/>
    </row>
    <row r="124" spans="1:12" ht="18" customHeight="1">
      <c r="A124" s="12">
        <v>1</v>
      </c>
      <c r="B124" s="13" t="s">
        <v>233</v>
      </c>
      <c r="C124" s="13" t="s">
        <v>234</v>
      </c>
      <c r="D124" s="13" t="s">
        <v>98</v>
      </c>
      <c r="E124" s="13" t="s">
        <v>196</v>
      </c>
      <c r="F124" s="13" t="s">
        <v>196</v>
      </c>
      <c r="G124" s="12" t="s">
        <v>141</v>
      </c>
      <c r="H124" s="12" t="s">
        <v>142</v>
      </c>
      <c r="I124" s="12" t="s">
        <v>142</v>
      </c>
      <c r="J124" s="12"/>
      <c r="K124" s="19" t="s">
        <v>230</v>
      </c>
      <c r="L124" s="20"/>
    </row>
    <row r="125" spans="1:12" ht="18" customHeight="1">
      <c r="A125" s="12">
        <v>2</v>
      </c>
      <c r="B125" s="13" t="s">
        <v>235</v>
      </c>
      <c r="C125" s="13" t="s">
        <v>236</v>
      </c>
      <c r="D125" s="13" t="s">
        <v>98</v>
      </c>
      <c r="E125" s="13" t="s">
        <v>196</v>
      </c>
      <c r="F125" s="13" t="s">
        <v>196</v>
      </c>
      <c r="G125" s="12" t="s">
        <v>141</v>
      </c>
      <c r="H125" s="12" t="s">
        <v>142</v>
      </c>
      <c r="I125" s="12" t="s">
        <v>142</v>
      </c>
      <c r="J125" s="12"/>
      <c r="K125" s="19" t="s">
        <v>237</v>
      </c>
      <c r="L125" s="20"/>
    </row>
    <row r="126" spans="1:12" ht="18" customHeight="1">
      <c r="A126" s="12">
        <v>3</v>
      </c>
      <c r="B126" s="13" t="s">
        <v>238</v>
      </c>
      <c r="C126" s="13" t="s">
        <v>239</v>
      </c>
      <c r="D126" s="13" t="s">
        <v>110</v>
      </c>
      <c r="E126" s="13" t="s">
        <v>111</v>
      </c>
      <c r="F126" s="13" t="s">
        <v>111</v>
      </c>
      <c r="G126" s="12"/>
      <c r="H126" s="12"/>
      <c r="I126" s="12"/>
      <c r="J126" s="12"/>
      <c r="K126" s="19" t="s">
        <v>187</v>
      </c>
      <c r="L126" s="20"/>
    </row>
    <row r="127" spans="1:12" ht="15.75" customHeight="1">
      <c r="A127" s="2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 ht="39" customHeight="1">
      <c r="A128" s="8">
        <v>14</v>
      </c>
      <c r="B128" s="9" t="s">
        <v>2</v>
      </c>
      <c r="C128" s="22" t="str">
        <f>B18</f>
        <v>grupo</v>
      </c>
      <c r="D128" s="20"/>
      <c r="E128" s="23" t="s">
        <v>3</v>
      </c>
      <c r="F128" s="20"/>
      <c r="G128" s="22" t="str">
        <f>C18</f>
        <v>Grupos creados por usuarios para organizar actividades colectivas</v>
      </c>
      <c r="H128" s="24"/>
      <c r="I128" s="24"/>
      <c r="J128" s="20"/>
      <c r="K128" s="9" t="s">
        <v>128</v>
      </c>
      <c r="L128" s="10">
        <v>1</v>
      </c>
    </row>
    <row r="129" spans="1:12" ht="27.75" customHeight="1">
      <c r="A129" s="11" t="s">
        <v>1</v>
      </c>
      <c r="B129" s="11" t="s">
        <v>129</v>
      </c>
      <c r="C129" s="11" t="s">
        <v>130</v>
      </c>
      <c r="D129" s="11" t="s">
        <v>131</v>
      </c>
      <c r="E129" s="11" t="s">
        <v>132</v>
      </c>
      <c r="F129" s="11" t="s">
        <v>133</v>
      </c>
      <c r="G129" s="11" t="s">
        <v>134</v>
      </c>
      <c r="H129" s="11" t="s">
        <v>135</v>
      </c>
      <c r="I129" s="11" t="s">
        <v>136</v>
      </c>
      <c r="J129" s="11" t="s">
        <v>137</v>
      </c>
      <c r="K129" s="25" t="s">
        <v>138</v>
      </c>
      <c r="L129" s="20"/>
    </row>
    <row r="130" spans="1:12" ht="18" customHeight="1">
      <c r="A130" s="12">
        <v>1</v>
      </c>
      <c r="B130" s="13" t="s">
        <v>240</v>
      </c>
      <c r="C130" s="13" t="s">
        <v>241</v>
      </c>
      <c r="D130" s="13" t="s">
        <v>95</v>
      </c>
      <c r="E130" s="13" t="s">
        <v>96</v>
      </c>
      <c r="F130" s="13" t="s">
        <v>96</v>
      </c>
      <c r="G130" s="12" t="s">
        <v>141</v>
      </c>
      <c r="H130" s="12" t="s">
        <v>142</v>
      </c>
      <c r="I130" s="12"/>
      <c r="J130" s="12"/>
      <c r="K130" s="19" t="s">
        <v>143</v>
      </c>
      <c r="L130" s="20"/>
    </row>
    <row r="131" spans="1:12" ht="18" customHeight="1">
      <c r="A131" s="12">
        <v>2</v>
      </c>
      <c r="B131" s="13" t="s">
        <v>242</v>
      </c>
      <c r="C131" s="13" t="s">
        <v>243</v>
      </c>
      <c r="D131" s="13" t="s">
        <v>98</v>
      </c>
      <c r="E131" s="13" t="s">
        <v>196</v>
      </c>
      <c r="F131" s="13" t="s">
        <v>196</v>
      </c>
      <c r="G131" s="12" t="s">
        <v>141</v>
      </c>
      <c r="H131" s="12"/>
      <c r="I131" s="12" t="s">
        <v>142</v>
      </c>
      <c r="J131" s="12"/>
      <c r="K131" s="19" t="s">
        <v>244</v>
      </c>
      <c r="L131" s="20"/>
    </row>
    <row r="132" spans="1:12" ht="18" customHeight="1">
      <c r="A132" s="12">
        <v>3</v>
      </c>
      <c r="B132" s="13" t="s">
        <v>148</v>
      </c>
      <c r="C132" s="13" t="s">
        <v>245</v>
      </c>
      <c r="D132" s="13" t="s">
        <v>106</v>
      </c>
      <c r="E132" s="13" t="s">
        <v>150</v>
      </c>
      <c r="F132" s="13" t="s">
        <v>150</v>
      </c>
      <c r="G132" s="12" t="s">
        <v>141</v>
      </c>
      <c r="H132" s="12"/>
      <c r="I132" s="12"/>
      <c r="J132" s="12"/>
      <c r="K132" s="19"/>
      <c r="L132" s="20"/>
    </row>
    <row r="133" spans="1:12" ht="18" customHeight="1">
      <c r="A133" s="12">
        <v>4</v>
      </c>
      <c r="B133" s="13" t="s">
        <v>169</v>
      </c>
      <c r="C133" s="13" t="s">
        <v>246</v>
      </c>
      <c r="D133" s="13" t="s">
        <v>104</v>
      </c>
      <c r="E133" s="13" t="s">
        <v>105</v>
      </c>
      <c r="F133" s="13" t="s">
        <v>105</v>
      </c>
      <c r="G133" s="12"/>
      <c r="H133" s="12"/>
      <c r="I133" s="12"/>
      <c r="J133" s="12"/>
      <c r="K133" s="19"/>
      <c r="L133" s="20"/>
    </row>
    <row r="134" spans="1:12" ht="18" customHeight="1">
      <c r="A134" s="12">
        <v>5</v>
      </c>
      <c r="B134" s="13" t="s">
        <v>247</v>
      </c>
      <c r="C134" s="13" t="s">
        <v>248</v>
      </c>
      <c r="D134" s="13" t="s">
        <v>117</v>
      </c>
      <c r="E134" s="13" t="s">
        <v>156</v>
      </c>
      <c r="F134" s="13" t="s">
        <v>156</v>
      </c>
      <c r="G134" s="12"/>
      <c r="H134" s="12"/>
      <c r="I134" s="12"/>
      <c r="J134" s="12"/>
      <c r="K134" s="19" t="s">
        <v>249</v>
      </c>
      <c r="L134" s="20"/>
    </row>
    <row r="135" spans="1:12" ht="18" customHeight="1">
      <c r="A135" s="12">
        <v>6</v>
      </c>
      <c r="B135" s="13" t="s">
        <v>250</v>
      </c>
      <c r="C135" s="13" t="s">
        <v>251</v>
      </c>
      <c r="D135" s="13" t="s">
        <v>110</v>
      </c>
      <c r="E135" s="13" t="s">
        <v>111</v>
      </c>
      <c r="F135" s="13" t="s">
        <v>111</v>
      </c>
      <c r="G135" s="12"/>
      <c r="H135" s="12"/>
      <c r="I135" s="12"/>
      <c r="J135" s="12"/>
      <c r="K135" s="19" t="s">
        <v>187</v>
      </c>
      <c r="L135" s="20"/>
    </row>
    <row r="136" spans="1:12" ht="18" customHeight="1">
      <c r="A136" s="12">
        <v>7</v>
      </c>
      <c r="B136" s="13" t="s">
        <v>192</v>
      </c>
      <c r="C136" s="13" t="s">
        <v>252</v>
      </c>
      <c r="D136" s="13" t="s">
        <v>106</v>
      </c>
      <c r="E136" s="13" t="s">
        <v>146</v>
      </c>
      <c r="F136" s="13" t="s">
        <v>146</v>
      </c>
      <c r="G136" s="12"/>
      <c r="H136" s="12"/>
      <c r="I136" s="12"/>
      <c r="J136" s="12"/>
      <c r="K136" s="19" t="s">
        <v>194</v>
      </c>
      <c r="L136" s="20"/>
    </row>
    <row r="137" spans="1:12" ht="15.75" customHeight="1">
      <c r="A137" s="2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 ht="39" customHeight="1">
      <c r="A138" s="8">
        <v>15</v>
      </c>
      <c r="B138" s="9" t="s">
        <v>2</v>
      </c>
      <c r="C138" s="22" t="str">
        <f>B19</f>
        <v>miembro_grupo</v>
      </c>
      <c r="D138" s="20"/>
      <c r="E138" s="23" t="s">
        <v>3</v>
      </c>
      <c r="F138" s="20"/>
      <c r="G138" s="22" t="str">
        <f>C19</f>
        <v>Tabla pivote N:M entre usuario y grupo con rol del miembro</v>
      </c>
      <c r="H138" s="24"/>
      <c r="I138" s="24"/>
      <c r="J138" s="20"/>
      <c r="K138" s="9" t="s">
        <v>128</v>
      </c>
      <c r="L138" s="10">
        <v>1</v>
      </c>
    </row>
    <row r="139" spans="1:12" ht="27.75" customHeight="1">
      <c r="A139" s="11" t="s">
        <v>1</v>
      </c>
      <c r="B139" s="11" t="s">
        <v>129</v>
      </c>
      <c r="C139" s="11" t="s">
        <v>130</v>
      </c>
      <c r="D139" s="11" t="s">
        <v>131</v>
      </c>
      <c r="E139" s="11" t="s">
        <v>132</v>
      </c>
      <c r="F139" s="11" t="s">
        <v>133</v>
      </c>
      <c r="G139" s="11" t="s">
        <v>134</v>
      </c>
      <c r="H139" s="11" t="s">
        <v>135</v>
      </c>
      <c r="I139" s="11" t="s">
        <v>136</v>
      </c>
      <c r="J139" s="11" t="s">
        <v>137</v>
      </c>
      <c r="K139" s="25" t="s">
        <v>138</v>
      </c>
      <c r="L139" s="20"/>
    </row>
    <row r="140" spans="1:12" ht="18" customHeight="1">
      <c r="A140" s="12">
        <v>1</v>
      </c>
      <c r="B140" s="13" t="s">
        <v>175</v>
      </c>
      <c r="C140" s="13" t="s">
        <v>253</v>
      </c>
      <c r="D140" s="13" t="s">
        <v>98</v>
      </c>
      <c r="E140" s="13" t="s">
        <v>196</v>
      </c>
      <c r="F140" s="13" t="s">
        <v>196</v>
      </c>
      <c r="G140" s="12" t="s">
        <v>141</v>
      </c>
      <c r="H140" s="12" t="s">
        <v>142</v>
      </c>
      <c r="I140" s="12" t="s">
        <v>142</v>
      </c>
      <c r="J140" s="12"/>
      <c r="K140" s="19" t="s">
        <v>230</v>
      </c>
      <c r="L140" s="20"/>
    </row>
    <row r="141" spans="1:12" ht="18" customHeight="1">
      <c r="A141" s="12">
        <v>2</v>
      </c>
      <c r="B141" s="13" t="s">
        <v>240</v>
      </c>
      <c r="C141" s="13" t="s">
        <v>254</v>
      </c>
      <c r="D141" s="13" t="s">
        <v>98</v>
      </c>
      <c r="E141" s="13" t="s">
        <v>196</v>
      </c>
      <c r="F141" s="13" t="s">
        <v>196</v>
      </c>
      <c r="G141" s="12" t="s">
        <v>141</v>
      </c>
      <c r="H141" s="12" t="s">
        <v>142</v>
      </c>
      <c r="I141" s="12" t="s">
        <v>142</v>
      </c>
      <c r="J141" s="12"/>
      <c r="K141" s="19" t="s">
        <v>230</v>
      </c>
      <c r="L141" s="20"/>
    </row>
    <row r="142" spans="1:12" ht="18" customHeight="1">
      <c r="A142" s="12">
        <v>3</v>
      </c>
      <c r="B142" s="13" t="s">
        <v>255</v>
      </c>
      <c r="C142" s="13" t="s">
        <v>256</v>
      </c>
      <c r="D142" s="13" t="s">
        <v>106</v>
      </c>
      <c r="E142" s="13" t="s">
        <v>156</v>
      </c>
      <c r="F142" s="13" t="s">
        <v>156</v>
      </c>
      <c r="G142" s="12"/>
      <c r="H142" s="12"/>
      <c r="I142" s="12"/>
      <c r="J142" s="12"/>
      <c r="K142" s="19" t="s">
        <v>257</v>
      </c>
      <c r="L142" s="20"/>
    </row>
    <row r="143" spans="1:12" ht="18" customHeight="1">
      <c r="A143" s="12">
        <v>4</v>
      </c>
      <c r="B143" s="13" t="s">
        <v>238</v>
      </c>
      <c r="C143" s="13" t="s">
        <v>258</v>
      </c>
      <c r="D143" s="13" t="s">
        <v>110</v>
      </c>
      <c r="E143" s="13" t="s">
        <v>111</v>
      </c>
      <c r="F143" s="13" t="s">
        <v>111</v>
      </c>
      <c r="G143" s="12"/>
      <c r="H143" s="12"/>
      <c r="I143" s="12"/>
      <c r="J143" s="12"/>
      <c r="K143" s="19" t="s">
        <v>187</v>
      </c>
      <c r="L143" s="20"/>
    </row>
    <row r="144" spans="1:12" ht="18" customHeight="1">
      <c r="A144" s="12">
        <v>5</v>
      </c>
      <c r="B144" s="13" t="s">
        <v>192</v>
      </c>
      <c r="C144" s="13" t="s">
        <v>259</v>
      </c>
      <c r="D144" s="13" t="s">
        <v>106</v>
      </c>
      <c r="E144" s="13" t="s">
        <v>146</v>
      </c>
      <c r="F144" s="13" t="s">
        <v>146</v>
      </c>
      <c r="G144" s="12"/>
      <c r="H144" s="12"/>
      <c r="I144" s="12"/>
      <c r="J144" s="12"/>
      <c r="K144" s="19" t="s">
        <v>194</v>
      </c>
      <c r="L144" s="20"/>
    </row>
    <row r="145" spans="1:12" ht="15.75" customHeight="1">
      <c r="A145" s="2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 spans="1:12" ht="39" customHeight="1">
      <c r="A146" s="8">
        <v>16</v>
      </c>
      <c r="B146" s="9" t="s">
        <v>2</v>
      </c>
      <c r="C146" s="22" t="str">
        <f>B20</f>
        <v>evento</v>
      </c>
      <c r="D146" s="20"/>
      <c r="E146" s="23" t="s">
        <v>3</v>
      </c>
      <c r="F146" s="20"/>
      <c r="G146" s="22" t="str">
        <f>C20</f>
        <v>Eventos académicos o sociales creados dentro de la plataforma</v>
      </c>
      <c r="H146" s="24"/>
      <c r="I146" s="24"/>
      <c r="J146" s="20"/>
      <c r="K146" s="9" t="s">
        <v>128</v>
      </c>
      <c r="L146" s="10">
        <v>1</v>
      </c>
    </row>
    <row r="147" spans="1:12" ht="27.75" customHeight="1">
      <c r="A147" s="11" t="s">
        <v>1</v>
      </c>
      <c r="B147" s="11" t="s">
        <v>129</v>
      </c>
      <c r="C147" s="11" t="s">
        <v>130</v>
      </c>
      <c r="D147" s="11" t="s">
        <v>131</v>
      </c>
      <c r="E147" s="11" t="s">
        <v>132</v>
      </c>
      <c r="F147" s="11" t="s">
        <v>133</v>
      </c>
      <c r="G147" s="11" t="s">
        <v>134</v>
      </c>
      <c r="H147" s="11" t="s">
        <v>135</v>
      </c>
      <c r="I147" s="11" t="s">
        <v>136</v>
      </c>
      <c r="J147" s="11" t="s">
        <v>137</v>
      </c>
      <c r="K147" s="25" t="s">
        <v>138</v>
      </c>
      <c r="L147" s="20"/>
    </row>
    <row r="148" spans="1:12" ht="18" customHeight="1">
      <c r="A148" s="12">
        <v>1</v>
      </c>
      <c r="B148" s="13" t="s">
        <v>260</v>
      </c>
      <c r="C148" s="13" t="s">
        <v>261</v>
      </c>
      <c r="D148" s="13" t="s">
        <v>95</v>
      </c>
      <c r="E148" s="13" t="s">
        <v>96</v>
      </c>
      <c r="F148" s="13" t="s">
        <v>96</v>
      </c>
      <c r="G148" s="12" t="s">
        <v>141</v>
      </c>
      <c r="H148" s="12" t="s">
        <v>142</v>
      </c>
      <c r="I148" s="12"/>
      <c r="J148" s="12"/>
      <c r="K148" s="19" t="s">
        <v>143</v>
      </c>
      <c r="L148" s="20"/>
    </row>
    <row r="149" spans="1:12" ht="18" customHeight="1">
      <c r="A149" s="12">
        <v>2</v>
      </c>
      <c r="B149" s="13" t="s">
        <v>242</v>
      </c>
      <c r="C149" s="13" t="s">
        <v>262</v>
      </c>
      <c r="D149" s="13" t="s">
        <v>98</v>
      </c>
      <c r="E149" s="13" t="s">
        <v>196</v>
      </c>
      <c r="F149" s="13" t="s">
        <v>196</v>
      </c>
      <c r="G149" s="12" t="s">
        <v>141</v>
      </c>
      <c r="H149" s="12"/>
      <c r="I149" s="12" t="s">
        <v>142</v>
      </c>
      <c r="J149" s="12"/>
      <c r="K149" s="19" t="s">
        <v>244</v>
      </c>
      <c r="L149" s="20"/>
    </row>
    <row r="150" spans="1:12" ht="18" customHeight="1">
      <c r="A150" s="12">
        <v>3</v>
      </c>
      <c r="B150" s="13" t="s">
        <v>240</v>
      </c>
      <c r="C150" s="13" t="s">
        <v>263</v>
      </c>
      <c r="D150" s="13" t="s">
        <v>98</v>
      </c>
      <c r="E150" s="13" t="s">
        <v>196</v>
      </c>
      <c r="F150" s="13" t="s">
        <v>196</v>
      </c>
      <c r="G150" s="12"/>
      <c r="H150" s="12"/>
      <c r="I150" s="12" t="s">
        <v>142</v>
      </c>
      <c r="J150" s="12"/>
      <c r="K150" s="19" t="s">
        <v>264</v>
      </c>
      <c r="L150" s="20"/>
    </row>
    <row r="151" spans="1:12" ht="18" customHeight="1">
      <c r="A151" s="12">
        <v>4</v>
      </c>
      <c r="B151" s="13" t="s">
        <v>148</v>
      </c>
      <c r="C151" s="13" t="s">
        <v>265</v>
      </c>
      <c r="D151" s="13" t="s">
        <v>106</v>
      </c>
      <c r="E151" s="13" t="s">
        <v>150</v>
      </c>
      <c r="F151" s="13" t="s">
        <v>150</v>
      </c>
      <c r="G151" s="12" t="s">
        <v>141</v>
      </c>
      <c r="H151" s="12"/>
      <c r="I151" s="12"/>
      <c r="J151" s="12"/>
      <c r="K151" s="19"/>
      <c r="L151" s="20"/>
    </row>
    <row r="152" spans="1:12" ht="18" customHeight="1">
      <c r="A152" s="12">
        <v>5</v>
      </c>
      <c r="B152" s="13" t="s">
        <v>169</v>
      </c>
      <c r="C152" s="13" t="s">
        <v>266</v>
      </c>
      <c r="D152" s="13" t="s">
        <v>104</v>
      </c>
      <c r="E152" s="13" t="s">
        <v>105</v>
      </c>
      <c r="F152" s="13" t="s">
        <v>105</v>
      </c>
      <c r="G152" s="12"/>
      <c r="H152" s="12"/>
      <c r="I152" s="12"/>
      <c r="J152" s="12"/>
      <c r="K152" s="19"/>
      <c r="L152" s="20"/>
    </row>
    <row r="153" spans="1:12" ht="18" customHeight="1">
      <c r="A153" s="12">
        <v>6</v>
      </c>
      <c r="B153" s="13" t="s">
        <v>267</v>
      </c>
      <c r="C153" s="13" t="s">
        <v>268</v>
      </c>
      <c r="D153" s="13" t="s">
        <v>110</v>
      </c>
      <c r="E153" s="13" t="s">
        <v>111</v>
      </c>
      <c r="F153" s="13" t="s">
        <v>111</v>
      </c>
      <c r="G153" s="12"/>
      <c r="H153" s="12"/>
      <c r="I153" s="12"/>
      <c r="J153" s="12"/>
      <c r="K153" s="19"/>
      <c r="L153" s="20"/>
    </row>
    <row r="154" spans="1:12" ht="18" customHeight="1">
      <c r="A154" s="12">
        <v>7</v>
      </c>
      <c r="B154" s="13" t="s">
        <v>269</v>
      </c>
      <c r="C154" s="13" t="s">
        <v>270</v>
      </c>
      <c r="D154" s="13" t="s">
        <v>106</v>
      </c>
      <c r="E154" s="13" t="s">
        <v>271</v>
      </c>
      <c r="F154" s="13" t="s">
        <v>271</v>
      </c>
      <c r="G154" s="12"/>
      <c r="H154" s="12"/>
      <c r="I154" s="12"/>
      <c r="J154" s="12"/>
      <c r="K154" s="19"/>
      <c r="L154" s="20"/>
    </row>
    <row r="155" spans="1:12" ht="18" customHeight="1">
      <c r="A155" s="12">
        <v>8</v>
      </c>
      <c r="B155" s="13" t="s">
        <v>272</v>
      </c>
      <c r="C155" s="13" t="s">
        <v>273</v>
      </c>
      <c r="D155" s="13" t="s">
        <v>117</v>
      </c>
      <c r="E155" s="13" t="s">
        <v>146</v>
      </c>
      <c r="F155" s="13" t="s">
        <v>146</v>
      </c>
      <c r="G155" s="12"/>
      <c r="H155" s="12"/>
      <c r="I155" s="12"/>
      <c r="J155" s="12"/>
      <c r="K155" s="19" t="s">
        <v>274</v>
      </c>
      <c r="L155" s="20"/>
    </row>
    <row r="156" spans="1:12" ht="18" customHeight="1">
      <c r="A156" s="12">
        <v>9</v>
      </c>
      <c r="B156" s="13" t="s">
        <v>192</v>
      </c>
      <c r="C156" s="13" t="s">
        <v>275</v>
      </c>
      <c r="D156" s="13" t="s">
        <v>106</v>
      </c>
      <c r="E156" s="13" t="s">
        <v>146</v>
      </c>
      <c r="F156" s="13" t="s">
        <v>146</v>
      </c>
      <c r="G156" s="12"/>
      <c r="H156" s="12"/>
      <c r="I156" s="12"/>
      <c r="J156" s="12"/>
      <c r="K156" s="19" t="s">
        <v>194</v>
      </c>
      <c r="L156" s="20"/>
    </row>
    <row r="157" spans="1:12" ht="15.75" customHeight="1">
      <c r="A157" s="2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 spans="1:12" ht="39" customHeight="1">
      <c r="A158" s="8">
        <v>17</v>
      </c>
      <c r="B158" s="9" t="s">
        <v>2</v>
      </c>
      <c r="C158" s="22" t="str">
        <f>B21</f>
        <v>asistencia_evento</v>
      </c>
      <c r="D158" s="20"/>
      <c r="E158" s="23" t="s">
        <v>3</v>
      </c>
      <c r="F158" s="20"/>
      <c r="G158" s="22" t="str">
        <f>C21</f>
        <v>Registro de asistencia o confirmación de usuarios a eventos</v>
      </c>
      <c r="H158" s="24"/>
      <c r="I158" s="24"/>
      <c r="J158" s="20"/>
      <c r="K158" s="9" t="s">
        <v>128</v>
      </c>
      <c r="L158" s="10">
        <v>1</v>
      </c>
    </row>
    <row r="159" spans="1:12" ht="27.75" customHeight="1">
      <c r="A159" s="11" t="s">
        <v>1</v>
      </c>
      <c r="B159" s="11" t="s">
        <v>129</v>
      </c>
      <c r="C159" s="11" t="s">
        <v>130</v>
      </c>
      <c r="D159" s="11" t="s">
        <v>131</v>
      </c>
      <c r="E159" s="11" t="s">
        <v>132</v>
      </c>
      <c r="F159" s="11" t="s">
        <v>133</v>
      </c>
      <c r="G159" s="11" t="s">
        <v>134</v>
      </c>
      <c r="H159" s="11" t="s">
        <v>135</v>
      </c>
      <c r="I159" s="11" t="s">
        <v>136</v>
      </c>
      <c r="J159" s="11" t="s">
        <v>137</v>
      </c>
      <c r="K159" s="25" t="s">
        <v>138</v>
      </c>
      <c r="L159" s="20"/>
    </row>
    <row r="160" spans="1:12" ht="18" customHeight="1">
      <c r="A160" s="12">
        <v>1</v>
      </c>
      <c r="B160" s="13" t="s">
        <v>175</v>
      </c>
      <c r="C160" s="13" t="s">
        <v>276</v>
      </c>
      <c r="D160" s="13" t="s">
        <v>98</v>
      </c>
      <c r="E160" s="13" t="s">
        <v>196</v>
      </c>
      <c r="F160" s="13" t="s">
        <v>196</v>
      </c>
      <c r="G160" s="12" t="s">
        <v>141</v>
      </c>
      <c r="H160" s="12" t="s">
        <v>142</v>
      </c>
      <c r="I160" s="12" t="s">
        <v>142</v>
      </c>
      <c r="J160" s="12"/>
      <c r="K160" s="19" t="s">
        <v>230</v>
      </c>
      <c r="L160" s="20"/>
    </row>
    <row r="161" spans="1:12" ht="18" customHeight="1">
      <c r="A161" s="12">
        <v>2</v>
      </c>
      <c r="B161" s="13" t="s">
        <v>260</v>
      </c>
      <c r="C161" s="13" t="s">
        <v>277</v>
      </c>
      <c r="D161" s="13" t="s">
        <v>98</v>
      </c>
      <c r="E161" s="13" t="s">
        <v>196</v>
      </c>
      <c r="F161" s="13" t="s">
        <v>196</v>
      </c>
      <c r="G161" s="12" t="s">
        <v>141</v>
      </c>
      <c r="H161" s="12" t="s">
        <v>142</v>
      </c>
      <c r="I161" s="12" t="s">
        <v>142</v>
      </c>
      <c r="J161" s="12"/>
      <c r="K161" s="19" t="s">
        <v>230</v>
      </c>
      <c r="L161" s="20"/>
    </row>
    <row r="162" spans="1:12" ht="18" customHeight="1">
      <c r="A162" s="12">
        <v>3</v>
      </c>
      <c r="B162" s="13" t="s">
        <v>192</v>
      </c>
      <c r="C162" s="13" t="s">
        <v>278</v>
      </c>
      <c r="D162" s="13" t="s">
        <v>106</v>
      </c>
      <c r="E162" s="13" t="s">
        <v>146</v>
      </c>
      <c r="F162" s="13" t="s">
        <v>146</v>
      </c>
      <c r="G162" s="12"/>
      <c r="H162" s="12"/>
      <c r="I162" s="12"/>
      <c r="J162" s="12"/>
      <c r="K162" s="19" t="s">
        <v>279</v>
      </c>
      <c r="L162" s="20"/>
    </row>
    <row r="163" spans="1:12" ht="18" customHeight="1">
      <c r="A163" s="12">
        <v>4</v>
      </c>
      <c r="B163" s="13" t="s">
        <v>185</v>
      </c>
      <c r="C163" s="13" t="s">
        <v>280</v>
      </c>
      <c r="D163" s="13" t="s">
        <v>110</v>
      </c>
      <c r="E163" s="13" t="s">
        <v>111</v>
      </c>
      <c r="F163" s="13" t="s">
        <v>111</v>
      </c>
      <c r="G163" s="12"/>
      <c r="H163" s="12"/>
      <c r="I163" s="12"/>
      <c r="J163" s="12"/>
      <c r="K163" s="19" t="s">
        <v>187</v>
      </c>
      <c r="L163" s="20"/>
    </row>
    <row r="164" spans="1:12" ht="15.75" customHeight="1">
      <c r="A164" s="2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 spans="1:12" ht="39" customHeight="1">
      <c r="A165" s="8">
        <v>18</v>
      </c>
      <c r="B165" s="9" t="s">
        <v>2</v>
      </c>
      <c r="C165" s="22" t="str">
        <f>B22</f>
        <v>publicacion</v>
      </c>
      <c r="D165" s="20"/>
      <c r="E165" s="23" t="s">
        <v>3</v>
      </c>
      <c r="F165" s="20"/>
      <c r="G165" s="22" t="str">
        <f>C22</f>
        <v>Publicaciones realizadas por usuarios en el feed de la red social</v>
      </c>
      <c r="H165" s="24"/>
      <c r="I165" s="24"/>
      <c r="J165" s="20"/>
      <c r="K165" s="9" t="s">
        <v>128</v>
      </c>
      <c r="L165" s="10">
        <v>1</v>
      </c>
    </row>
    <row r="166" spans="1:12" ht="27.75" customHeight="1">
      <c r="A166" s="11" t="s">
        <v>1</v>
      </c>
      <c r="B166" s="11" t="s">
        <v>129</v>
      </c>
      <c r="C166" s="11" t="s">
        <v>130</v>
      </c>
      <c r="D166" s="11" t="s">
        <v>131</v>
      </c>
      <c r="E166" s="11" t="s">
        <v>132</v>
      </c>
      <c r="F166" s="11" t="s">
        <v>133</v>
      </c>
      <c r="G166" s="11" t="s">
        <v>134</v>
      </c>
      <c r="H166" s="11" t="s">
        <v>135</v>
      </c>
      <c r="I166" s="11" t="s">
        <v>136</v>
      </c>
      <c r="J166" s="11" t="s">
        <v>137</v>
      </c>
      <c r="K166" s="25" t="s">
        <v>138</v>
      </c>
      <c r="L166" s="20"/>
    </row>
    <row r="167" spans="1:12" ht="18" customHeight="1">
      <c r="A167" s="12">
        <v>1</v>
      </c>
      <c r="B167" s="13" t="s">
        <v>281</v>
      </c>
      <c r="C167" s="13" t="s">
        <v>282</v>
      </c>
      <c r="D167" s="13" t="s">
        <v>95</v>
      </c>
      <c r="E167" s="13" t="s">
        <v>96</v>
      </c>
      <c r="F167" s="13" t="s">
        <v>96</v>
      </c>
      <c r="G167" s="12" t="s">
        <v>141</v>
      </c>
      <c r="H167" s="12" t="s">
        <v>142</v>
      </c>
      <c r="I167" s="12"/>
      <c r="J167" s="12"/>
      <c r="K167" s="19" t="s">
        <v>143</v>
      </c>
      <c r="L167" s="20"/>
    </row>
    <row r="168" spans="1:12" ht="18" customHeight="1">
      <c r="A168" s="12">
        <v>2</v>
      </c>
      <c r="B168" s="13" t="s">
        <v>175</v>
      </c>
      <c r="C168" s="13" t="s">
        <v>283</v>
      </c>
      <c r="D168" s="13" t="s">
        <v>98</v>
      </c>
      <c r="E168" s="13" t="s">
        <v>196</v>
      </c>
      <c r="F168" s="13" t="s">
        <v>196</v>
      </c>
      <c r="G168" s="12" t="s">
        <v>141</v>
      </c>
      <c r="H168" s="12"/>
      <c r="I168" s="12" t="s">
        <v>142</v>
      </c>
      <c r="J168" s="12"/>
      <c r="K168" s="19" t="s">
        <v>244</v>
      </c>
      <c r="L168" s="20"/>
    </row>
    <row r="169" spans="1:12" ht="18" customHeight="1">
      <c r="A169" s="12">
        <v>3</v>
      </c>
      <c r="B169" s="13" t="s">
        <v>240</v>
      </c>
      <c r="C169" s="13" t="s">
        <v>284</v>
      </c>
      <c r="D169" s="13" t="s">
        <v>98</v>
      </c>
      <c r="E169" s="13" t="s">
        <v>196</v>
      </c>
      <c r="F169" s="13" t="s">
        <v>196</v>
      </c>
      <c r="G169" s="12"/>
      <c r="H169" s="12"/>
      <c r="I169" s="12" t="s">
        <v>142</v>
      </c>
      <c r="J169" s="12"/>
      <c r="K169" s="19" t="s">
        <v>285</v>
      </c>
      <c r="L169" s="20"/>
    </row>
    <row r="170" spans="1:12" ht="18" customHeight="1">
      <c r="A170" s="12">
        <v>4</v>
      </c>
      <c r="B170" s="13" t="s">
        <v>286</v>
      </c>
      <c r="C170" s="13" t="s">
        <v>287</v>
      </c>
      <c r="D170" s="13" t="s">
        <v>104</v>
      </c>
      <c r="E170" s="13" t="s">
        <v>105</v>
      </c>
      <c r="F170" s="13" t="s">
        <v>105</v>
      </c>
      <c r="G170" s="12"/>
      <c r="H170" s="12"/>
      <c r="I170" s="12"/>
      <c r="J170" s="12"/>
      <c r="K170" s="19"/>
      <c r="L170" s="20"/>
    </row>
    <row r="171" spans="1:12" ht="18" customHeight="1">
      <c r="A171" s="12">
        <v>5</v>
      </c>
      <c r="B171" s="13" t="s">
        <v>247</v>
      </c>
      <c r="C171" s="13" t="s">
        <v>288</v>
      </c>
      <c r="D171" s="13" t="s">
        <v>106</v>
      </c>
      <c r="E171" s="13" t="s">
        <v>156</v>
      </c>
      <c r="F171" s="13" t="s">
        <v>156</v>
      </c>
      <c r="G171" s="12"/>
      <c r="H171" s="12"/>
      <c r="I171" s="12"/>
      <c r="J171" s="12"/>
      <c r="K171" s="19" t="s">
        <v>289</v>
      </c>
      <c r="L171" s="20"/>
    </row>
    <row r="172" spans="1:12" ht="18" customHeight="1">
      <c r="A172" s="12">
        <v>6</v>
      </c>
      <c r="B172" s="13" t="s">
        <v>250</v>
      </c>
      <c r="C172" s="13" t="s">
        <v>290</v>
      </c>
      <c r="D172" s="13" t="s">
        <v>110</v>
      </c>
      <c r="E172" s="13" t="s">
        <v>111</v>
      </c>
      <c r="F172" s="13" t="s">
        <v>111</v>
      </c>
      <c r="G172" s="12"/>
      <c r="H172" s="12"/>
      <c r="I172" s="12"/>
      <c r="J172" s="12"/>
      <c r="K172" s="19" t="s">
        <v>187</v>
      </c>
      <c r="L172" s="20"/>
    </row>
    <row r="173" spans="1:12" ht="18" customHeight="1">
      <c r="A173" s="12">
        <v>7</v>
      </c>
      <c r="B173" s="13" t="s">
        <v>192</v>
      </c>
      <c r="C173" s="13" t="s">
        <v>291</v>
      </c>
      <c r="D173" s="13" t="s">
        <v>106</v>
      </c>
      <c r="E173" s="13" t="s">
        <v>146</v>
      </c>
      <c r="F173" s="13" t="s">
        <v>146</v>
      </c>
      <c r="G173" s="12"/>
      <c r="H173" s="12"/>
      <c r="I173" s="12"/>
      <c r="J173" s="12"/>
      <c r="K173" s="19" t="s">
        <v>194</v>
      </c>
      <c r="L173" s="20"/>
    </row>
    <row r="174" spans="1:12" ht="15.75" customHeight="1">
      <c r="A174" s="2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 spans="1:12" ht="39" customHeight="1">
      <c r="A175" s="8">
        <v>19</v>
      </c>
      <c r="B175" s="9" t="s">
        <v>2</v>
      </c>
      <c r="C175" s="22" t="str">
        <f>B23</f>
        <v>publicacion_multimedia</v>
      </c>
      <c r="D175" s="20"/>
      <c r="E175" s="23" t="s">
        <v>3</v>
      </c>
      <c r="F175" s="20"/>
      <c r="G175" s="22" t="str">
        <f>C23</f>
        <v>Archivos multimedia adjuntos a una publicación</v>
      </c>
      <c r="H175" s="24"/>
      <c r="I175" s="24"/>
      <c r="J175" s="20"/>
      <c r="K175" s="9" t="s">
        <v>128</v>
      </c>
      <c r="L175" s="10">
        <v>1</v>
      </c>
    </row>
    <row r="176" spans="1:12" ht="27.75" customHeight="1">
      <c r="A176" s="11" t="s">
        <v>1</v>
      </c>
      <c r="B176" s="11" t="s">
        <v>129</v>
      </c>
      <c r="C176" s="11" t="s">
        <v>130</v>
      </c>
      <c r="D176" s="11" t="s">
        <v>131</v>
      </c>
      <c r="E176" s="11" t="s">
        <v>132</v>
      </c>
      <c r="F176" s="11" t="s">
        <v>133</v>
      </c>
      <c r="G176" s="11" t="s">
        <v>134</v>
      </c>
      <c r="H176" s="11" t="s">
        <v>135</v>
      </c>
      <c r="I176" s="11" t="s">
        <v>136</v>
      </c>
      <c r="J176" s="11" t="s">
        <v>137</v>
      </c>
      <c r="K176" s="25" t="s">
        <v>138</v>
      </c>
      <c r="L176" s="20"/>
    </row>
    <row r="177" spans="1:12" ht="18" customHeight="1">
      <c r="A177" s="12">
        <v>1</v>
      </c>
      <c r="B177" s="13" t="s">
        <v>292</v>
      </c>
      <c r="C177" s="13" t="s">
        <v>293</v>
      </c>
      <c r="D177" s="13" t="s">
        <v>95</v>
      </c>
      <c r="E177" s="13" t="s">
        <v>96</v>
      </c>
      <c r="F177" s="13" t="s">
        <v>96</v>
      </c>
      <c r="G177" s="12" t="s">
        <v>141</v>
      </c>
      <c r="H177" s="12" t="s">
        <v>142</v>
      </c>
      <c r="I177" s="12"/>
      <c r="J177" s="12"/>
      <c r="K177" s="19" t="s">
        <v>143</v>
      </c>
      <c r="L177" s="20"/>
    </row>
    <row r="178" spans="1:12" ht="18" customHeight="1">
      <c r="A178" s="12">
        <v>2</v>
      </c>
      <c r="B178" s="13" t="s">
        <v>281</v>
      </c>
      <c r="C178" s="13" t="s">
        <v>294</v>
      </c>
      <c r="D178" s="13" t="s">
        <v>98</v>
      </c>
      <c r="E178" s="13" t="s">
        <v>196</v>
      </c>
      <c r="F178" s="13" t="s">
        <v>196</v>
      </c>
      <c r="G178" s="12" t="s">
        <v>141</v>
      </c>
      <c r="H178" s="12"/>
      <c r="I178" s="12" t="s">
        <v>142</v>
      </c>
      <c r="J178" s="12"/>
      <c r="K178" s="19" t="s">
        <v>295</v>
      </c>
      <c r="L178" s="20"/>
    </row>
    <row r="179" spans="1:12" ht="18" customHeight="1">
      <c r="A179" s="12">
        <v>3</v>
      </c>
      <c r="B179" s="13" t="s">
        <v>296</v>
      </c>
      <c r="C179" s="13" t="s">
        <v>297</v>
      </c>
      <c r="D179" s="13" t="s">
        <v>115</v>
      </c>
      <c r="E179" s="13" t="s">
        <v>116</v>
      </c>
      <c r="F179" s="13" t="s">
        <v>116</v>
      </c>
      <c r="G179" s="12" t="s">
        <v>141</v>
      </c>
      <c r="H179" s="12"/>
      <c r="I179" s="12"/>
      <c r="J179" s="12"/>
      <c r="K179" s="19"/>
      <c r="L179" s="20"/>
    </row>
    <row r="180" spans="1:12" ht="18" customHeight="1">
      <c r="A180" s="12">
        <v>4</v>
      </c>
      <c r="B180" s="13" t="s">
        <v>298</v>
      </c>
      <c r="C180" s="13" t="s">
        <v>299</v>
      </c>
      <c r="D180" s="13" t="s">
        <v>106</v>
      </c>
      <c r="E180" s="13" t="s">
        <v>156</v>
      </c>
      <c r="F180" s="13" t="s">
        <v>156</v>
      </c>
      <c r="G180" s="12"/>
      <c r="H180" s="12"/>
      <c r="I180" s="12"/>
      <c r="J180" s="12"/>
      <c r="K180" s="19"/>
      <c r="L180" s="20"/>
    </row>
    <row r="181" spans="1:12" ht="15.75" customHeight="1">
      <c r="A181" s="2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 spans="1:12" ht="39" customHeight="1">
      <c r="A182" s="8">
        <v>20</v>
      </c>
      <c r="B182" s="9" t="s">
        <v>2</v>
      </c>
      <c r="C182" s="22" t="str">
        <f>B24</f>
        <v>comentario</v>
      </c>
      <c r="D182" s="20"/>
      <c r="E182" s="23" t="s">
        <v>3</v>
      </c>
      <c r="F182" s="20"/>
      <c r="G182" s="22" t="str">
        <f>C24</f>
        <v>Comentarios realizados por usuarios sobre publicaciones</v>
      </c>
      <c r="H182" s="24"/>
      <c r="I182" s="24"/>
      <c r="J182" s="20"/>
      <c r="K182" s="9" t="s">
        <v>128</v>
      </c>
      <c r="L182" s="10">
        <v>1</v>
      </c>
    </row>
    <row r="183" spans="1:12" ht="27.75" customHeight="1">
      <c r="A183" s="11" t="s">
        <v>1</v>
      </c>
      <c r="B183" s="11" t="s">
        <v>129</v>
      </c>
      <c r="C183" s="11" t="s">
        <v>130</v>
      </c>
      <c r="D183" s="11" t="s">
        <v>131</v>
      </c>
      <c r="E183" s="11" t="s">
        <v>132</v>
      </c>
      <c r="F183" s="11" t="s">
        <v>133</v>
      </c>
      <c r="G183" s="11" t="s">
        <v>134</v>
      </c>
      <c r="H183" s="11" t="s">
        <v>135</v>
      </c>
      <c r="I183" s="11" t="s">
        <v>136</v>
      </c>
      <c r="J183" s="11" t="s">
        <v>137</v>
      </c>
      <c r="K183" s="25" t="s">
        <v>138</v>
      </c>
      <c r="L183" s="20"/>
    </row>
    <row r="184" spans="1:12" ht="18" customHeight="1">
      <c r="A184" s="12">
        <v>1</v>
      </c>
      <c r="B184" s="13" t="s">
        <v>300</v>
      </c>
      <c r="C184" s="13" t="s">
        <v>301</v>
      </c>
      <c r="D184" s="13" t="s">
        <v>95</v>
      </c>
      <c r="E184" s="13" t="s">
        <v>96</v>
      </c>
      <c r="F184" s="13" t="s">
        <v>96</v>
      </c>
      <c r="G184" s="12" t="s">
        <v>141</v>
      </c>
      <c r="H184" s="12" t="s">
        <v>142</v>
      </c>
      <c r="I184" s="12"/>
      <c r="J184" s="12"/>
      <c r="K184" s="19" t="s">
        <v>143</v>
      </c>
      <c r="L184" s="20"/>
    </row>
    <row r="185" spans="1:12" ht="18" customHeight="1">
      <c r="A185" s="12">
        <v>2</v>
      </c>
      <c r="B185" s="13" t="s">
        <v>175</v>
      </c>
      <c r="C185" s="13" t="s">
        <v>302</v>
      </c>
      <c r="D185" s="13" t="s">
        <v>98</v>
      </c>
      <c r="E185" s="13" t="s">
        <v>196</v>
      </c>
      <c r="F185" s="13" t="s">
        <v>196</v>
      </c>
      <c r="G185" s="12" t="s">
        <v>141</v>
      </c>
      <c r="H185" s="12"/>
      <c r="I185" s="12" t="s">
        <v>142</v>
      </c>
      <c r="J185" s="12"/>
      <c r="K185" s="19" t="s">
        <v>244</v>
      </c>
      <c r="L185" s="20"/>
    </row>
    <row r="186" spans="1:12" ht="18" customHeight="1">
      <c r="A186" s="12">
        <v>3</v>
      </c>
      <c r="B186" s="13" t="s">
        <v>281</v>
      </c>
      <c r="C186" s="13" t="s">
        <v>303</v>
      </c>
      <c r="D186" s="13" t="s">
        <v>98</v>
      </c>
      <c r="E186" s="13" t="s">
        <v>196</v>
      </c>
      <c r="F186" s="13" t="s">
        <v>196</v>
      </c>
      <c r="G186" s="12" t="s">
        <v>141</v>
      </c>
      <c r="H186" s="12"/>
      <c r="I186" s="12" t="s">
        <v>142</v>
      </c>
      <c r="J186" s="12"/>
      <c r="K186" s="19" t="s">
        <v>295</v>
      </c>
      <c r="L186" s="20"/>
    </row>
    <row r="187" spans="1:12" ht="18" customHeight="1">
      <c r="A187" s="12">
        <v>4</v>
      </c>
      <c r="B187" s="13" t="s">
        <v>304</v>
      </c>
      <c r="C187" s="13" t="s">
        <v>305</v>
      </c>
      <c r="D187" s="13" t="s">
        <v>98</v>
      </c>
      <c r="E187" s="13" t="s">
        <v>196</v>
      </c>
      <c r="F187" s="13" t="s">
        <v>196</v>
      </c>
      <c r="G187" s="12"/>
      <c r="H187" s="12"/>
      <c r="I187" s="12" t="s">
        <v>142</v>
      </c>
      <c r="J187" s="12"/>
      <c r="K187" s="19" t="s">
        <v>306</v>
      </c>
      <c r="L187" s="20"/>
    </row>
    <row r="188" spans="1:12" ht="18" customHeight="1">
      <c r="A188" s="12">
        <v>5</v>
      </c>
      <c r="B188" s="13" t="s">
        <v>286</v>
      </c>
      <c r="C188" s="13" t="s">
        <v>307</v>
      </c>
      <c r="D188" s="13" t="s">
        <v>104</v>
      </c>
      <c r="E188" s="13" t="s">
        <v>105</v>
      </c>
      <c r="F188" s="13" t="s">
        <v>105</v>
      </c>
      <c r="G188" s="12" t="s">
        <v>141</v>
      </c>
      <c r="H188" s="12"/>
      <c r="I188" s="12"/>
      <c r="J188" s="12"/>
      <c r="K188" s="19"/>
      <c r="L188" s="20"/>
    </row>
    <row r="189" spans="1:12" ht="18" customHeight="1">
      <c r="A189" s="12">
        <v>6</v>
      </c>
      <c r="B189" s="13" t="s">
        <v>250</v>
      </c>
      <c r="C189" s="13" t="s">
        <v>308</v>
      </c>
      <c r="D189" s="13" t="s">
        <v>110</v>
      </c>
      <c r="E189" s="13" t="s">
        <v>111</v>
      </c>
      <c r="F189" s="13" t="s">
        <v>111</v>
      </c>
      <c r="G189" s="12"/>
      <c r="H189" s="12"/>
      <c r="I189" s="12"/>
      <c r="J189" s="12"/>
      <c r="K189" s="19" t="s">
        <v>187</v>
      </c>
      <c r="L189" s="20"/>
    </row>
    <row r="190" spans="1:12" ht="15.75" customHeight="1">
      <c r="A190" s="2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 spans="1:12" ht="39" customHeight="1">
      <c r="A191" s="8">
        <v>21</v>
      </c>
      <c r="B191" s="9" t="s">
        <v>2</v>
      </c>
      <c r="C191" s="22" t="str">
        <f>B25</f>
        <v>reaccion</v>
      </c>
      <c r="D191" s="20"/>
      <c r="E191" s="23" t="s">
        <v>3</v>
      </c>
      <c r="F191" s="20"/>
      <c r="G191" s="22" t="str">
        <f>C25</f>
        <v>Reacciones de usuarios a publicaciones (like, love, etc.)</v>
      </c>
      <c r="H191" s="24"/>
      <c r="I191" s="24"/>
      <c r="J191" s="20"/>
      <c r="K191" s="9" t="s">
        <v>128</v>
      </c>
      <c r="L191" s="10">
        <v>1</v>
      </c>
    </row>
    <row r="192" spans="1:12" ht="27.75" customHeight="1">
      <c r="A192" s="11" t="s">
        <v>1</v>
      </c>
      <c r="B192" s="11" t="s">
        <v>129</v>
      </c>
      <c r="C192" s="11" t="s">
        <v>130</v>
      </c>
      <c r="D192" s="11" t="s">
        <v>131</v>
      </c>
      <c r="E192" s="11" t="s">
        <v>132</v>
      </c>
      <c r="F192" s="11" t="s">
        <v>133</v>
      </c>
      <c r="G192" s="11" t="s">
        <v>134</v>
      </c>
      <c r="H192" s="11" t="s">
        <v>135</v>
      </c>
      <c r="I192" s="11" t="s">
        <v>136</v>
      </c>
      <c r="J192" s="11" t="s">
        <v>137</v>
      </c>
      <c r="K192" s="25" t="s">
        <v>138</v>
      </c>
      <c r="L192" s="20"/>
    </row>
    <row r="193" spans="1:12" ht="18" customHeight="1">
      <c r="A193" s="12">
        <v>1</v>
      </c>
      <c r="B193" s="13" t="s">
        <v>309</v>
      </c>
      <c r="C193" s="13" t="s">
        <v>310</v>
      </c>
      <c r="D193" s="13" t="s">
        <v>95</v>
      </c>
      <c r="E193" s="13" t="s">
        <v>96</v>
      </c>
      <c r="F193" s="13" t="s">
        <v>96</v>
      </c>
      <c r="G193" s="12" t="s">
        <v>141</v>
      </c>
      <c r="H193" s="12" t="s">
        <v>142</v>
      </c>
      <c r="I193" s="12"/>
      <c r="J193" s="12"/>
      <c r="K193" s="19" t="s">
        <v>143</v>
      </c>
      <c r="L193" s="20"/>
    </row>
    <row r="194" spans="1:12" ht="18" customHeight="1">
      <c r="A194" s="12">
        <v>2</v>
      </c>
      <c r="B194" s="13" t="s">
        <v>175</v>
      </c>
      <c r="C194" s="13" t="s">
        <v>311</v>
      </c>
      <c r="D194" s="13" t="s">
        <v>98</v>
      </c>
      <c r="E194" s="13" t="s">
        <v>196</v>
      </c>
      <c r="F194" s="13" t="s">
        <v>196</v>
      </c>
      <c r="G194" s="12" t="s">
        <v>141</v>
      </c>
      <c r="H194" s="12"/>
      <c r="I194" s="12" t="s">
        <v>142</v>
      </c>
      <c r="J194" s="12"/>
      <c r="K194" s="19" t="s">
        <v>244</v>
      </c>
      <c r="L194" s="20"/>
    </row>
    <row r="195" spans="1:12" ht="18" customHeight="1">
      <c r="A195" s="12">
        <v>3</v>
      </c>
      <c r="B195" s="13" t="s">
        <v>281</v>
      </c>
      <c r="C195" s="13" t="s">
        <v>312</v>
      </c>
      <c r="D195" s="13" t="s">
        <v>98</v>
      </c>
      <c r="E195" s="13" t="s">
        <v>196</v>
      </c>
      <c r="F195" s="13" t="s">
        <v>196</v>
      </c>
      <c r="G195" s="12" t="s">
        <v>141</v>
      </c>
      <c r="H195" s="12"/>
      <c r="I195" s="12" t="s">
        <v>142</v>
      </c>
      <c r="J195" s="12"/>
      <c r="K195" s="19" t="s">
        <v>295</v>
      </c>
      <c r="L195" s="20"/>
    </row>
    <row r="196" spans="1:12" ht="18" customHeight="1">
      <c r="A196" s="12">
        <v>4</v>
      </c>
      <c r="B196" s="13" t="s">
        <v>247</v>
      </c>
      <c r="C196" s="13" t="s">
        <v>313</v>
      </c>
      <c r="D196" s="13" t="s">
        <v>117</v>
      </c>
      <c r="E196" s="13" t="s">
        <v>146</v>
      </c>
      <c r="F196" s="13" t="s">
        <v>146</v>
      </c>
      <c r="G196" s="12" t="s">
        <v>141</v>
      </c>
      <c r="H196" s="12"/>
      <c r="I196" s="12"/>
      <c r="J196" s="12"/>
      <c r="K196" s="19" t="s">
        <v>249</v>
      </c>
      <c r="L196" s="20"/>
    </row>
    <row r="197" spans="1:12" ht="18" customHeight="1">
      <c r="A197" s="12">
        <v>5</v>
      </c>
      <c r="B197" s="13" t="s">
        <v>250</v>
      </c>
      <c r="C197" s="13" t="s">
        <v>314</v>
      </c>
      <c r="D197" s="13" t="s">
        <v>110</v>
      </c>
      <c r="E197" s="13" t="s">
        <v>111</v>
      </c>
      <c r="F197" s="13" t="s">
        <v>111</v>
      </c>
      <c r="G197" s="12"/>
      <c r="H197" s="12"/>
      <c r="I197" s="12"/>
      <c r="J197" s="12"/>
      <c r="K197" s="19" t="s">
        <v>187</v>
      </c>
      <c r="L197" s="20"/>
    </row>
    <row r="198" spans="1:12" ht="15.75" customHeight="1">
      <c r="A198" s="2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spans="1:12" ht="39" customHeight="1">
      <c r="A199" s="8">
        <v>22</v>
      </c>
      <c r="B199" s="9" t="s">
        <v>2</v>
      </c>
      <c r="C199" s="22" t="str">
        <f>B26</f>
        <v>producto</v>
      </c>
      <c r="D199" s="20"/>
      <c r="E199" s="23" t="s">
        <v>3</v>
      </c>
      <c r="F199" s="20"/>
      <c r="G199" s="22" t="str">
        <f>C26</f>
        <v>Productos o servicios publicados en el marketplace de la plataforma</v>
      </c>
      <c r="H199" s="24"/>
      <c r="I199" s="24"/>
      <c r="J199" s="20"/>
      <c r="K199" s="9" t="s">
        <v>128</v>
      </c>
      <c r="L199" s="10">
        <v>1</v>
      </c>
    </row>
    <row r="200" spans="1:12" ht="27.75" customHeight="1">
      <c r="A200" s="11" t="s">
        <v>1</v>
      </c>
      <c r="B200" s="11" t="s">
        <v>129</v>
      </c>
      <c r="C200" s="11" t="s">
        <v>130</v>
      </c>
      <c r="D200" s="11" t="s">
        <v>131</v>
      </c>
      <c r="E200" s="11" t="s">
        <v>132</v>
      </c>
      <c r="F200" s="11" t="s">
        <v>133</v>
      </c>
      <c r="G200" s="11" t="s">
        <v>134</v>
      </c>
      <c r="H200" s="11" t="s">
        <v>135</v>
      </c>
      <c r="I200" s="11" t="s">
        <v>136</v>
      </c>
      <c r="J200" s="11" t="s">
        <v>137</v>
      </c>
      <c r="K200" s="25" t="s">
        <v>138</v>
      </c>
      <c r="L200" s="20"/>
    </row>
    <row r="201" spans="1:12" ht="18" customHeight="1">
      <c r="A201" s="12">
        <v>1</v>
      </c>
      <c r="B201" s="13" t="s">
        <v>315</v>
      </c>
      <c r="C201" s="13" t="s">
        <v>316</v>
      </c>
      <c r="D201" s="13" t="s">
        <v>95</v>
      </c>
      <c r="E201" s="13" t="s">
        <v>96</v>
      </c>
      <c r="F201" s="13" t="s">
        <v>96</v>
      </c>
      <c r="G201" s="12" t="s">
        <v>141</v>
      </c>
      <c r="H201" s="12" t="s">
        <v>142</v>
      </c>
      <c r="I201" s="12"/>
      <c r="J201" s="12"/>
      <c r="K201" s="19" t="s">
        <v>143</v>
      </c>
      <c r="L201" s="20"/>
    </row>
    <row r="202" spans="1:12" ht="18" customHeight="1">
      <c r="A202" s="12">
        <v>2</v>
      </c>
      <c r="B202" s="13" t="s">
        <v>317</v>
      </c>
      <c r="C202" s="13" t="s">
        <v>318</v>
      </c>
      <c r="D202" s="13" t="s">
        <v>98</v>
      </c>
      <c r="E202" s="13" t="s">
        <v>196</v>
      </c>
      <c r="F202" s="13" t="s">
        <v>196</v>
      </c>
      <c r="G202" s="12" t="s">
        <v>141</v>
      </c>
      <c r="H202" s="12"/>
      <c r="I202" s="12" t="s">
        <v>142</v>
      </c>
      <c r="J202" s="12"/>
      <c r="K202" s="19" t="s">
        <v>244</v>
      </c>
      <c r="L202" s="20"/>
    </row>
    <row r="203" spans="1:12" ht="18" customHeight="1">
      <c r="A203" s="12">
        <v>3</v>
      </c>
      <c r="B203" s="13" t="s">
        <v>148</v>
      </c>
      <c r="C203" s="13" t="s">
        <v>319</v>
      </c>
      <c r="D203" s="13" t="s">
        <v>106</v>
      </c>
      <c r="E203" s="13" t="s">
        <v>150</v>
      </c>
      <c r="F203" s="13" t="s">
        <v>150</v>
      </c>
      <c r="G203" s="12" t="s">
        <v>141</v>
      </c>
      <c r="H203" s="12"/>
      <c r="I203" s="12"/>
      <c r="J203" s="12"/>
      <c r="K203" s="19"/>
      <c r="L203" s="20"/>
    </row>
    <row r="204" spans="1:12" ht="18" customHeight="1">
      <c r="A204" s="12">
        <v>4</v>
      </c>
      <c r="B204" s="13" t="s">
        <v>169</v>
      </c>
      <c r="C204" s="13" t="s">
        <v>320</v>
      </c>
      <c r="D204" s="13" t="s">
        <v>104</v>
      </c>
      <c r="E204" s="13" t="s">
        <v>105</v>
      </c>
      <c r="F204" s="13" t="s">
        <v>105</v>
      </c>
      <c r="G204" s="12"/>
      <c r="H204" s="12"/>
      <c r="I204" s="12"/>
      <c r="J204" s="12"/>
      <c r="K204" s="19"/>
      <c r="L204" s="20"/>
    </row>
    <row r="205" spans="1:12" ht="18" customHeight="1">
      <c r="A205" s="12">
        <v>5</v>
      </c>
      <c r="B205" s="13" t="s">
        <v>321</v>
      </c>
      <c r="C205" s="13" t="s">
        <v>322</v>
      </c>
      <c r="D205" s="13" t="s">
        <v>100</v>
      </c>
      <c r="E205" s="13" t="s">
        <v>323</v>
      </c>
      <c r="F205" s="13" t="s">
        <v>323</v>
      </c>
      <c r="G205" s="12"/>
      <c r="H205" s="12"/>
      <c r="I205" s="12"/>
      <c r="J205" s="12"/>
      <c r="K205" s="19"/>
      <c r="L205" s="20"/>
    </row>
    <row r="206" spans="1:12" ht="18" customHeight="1">
      <c r="A206" s="12">
        <v>6</v>
      </c>
      <c r="B206" s="13" t="s">
        <v>192</v>
      </c>
      <c r="C206" s="13" t="s">
        <v>324</v>
      </c>
      <c r="D206" s="13" t="s">
        <v>106</v>
      </c>
      <c r="E206" s="13" t="s">
        <v>146</v>
      </c>
      <c r="F206" s="13" t="s">
        <v>146</v>
      </c>
      <c r="G206" s="12"/>
      <c r="H206" s="12"/>
      <c r="I206" s="12"/>
      <c r="J206" s="12"/>
      <c r="K206" s="19" t="s">
        <v>325</v>
      </c>
      <c r="L206" s="20"/>
    </row>
    <row r="207" spans="1:12" ht="18" customHeight="1">
      <c r="A207" s="12">
        <v>7</v>
      </c>
      <c r="B207" s="13" t="s">
        <v>326</v>
      </c>
      <c r="C207" s="13" t="s">
        <v>327</v>
      </c>
      <c r="D207" s="13" t="s">
        <v>110</v>
      </c>
      <c r="E207" s="13" t="s">
        <v>111</v>
      </c>
      <c r="F207" s="13" t="s">
        <v>111</v>
      </c>
      <c r="G207" s="12"/>
      <c r="H207" s="12"/>
      <c r="I207" s="12"/>
      <c r="J207" s="12"/>
      <c r="K207" s="19" t="s">
        <v>187</v>
      </c>
      <c r="L207" s="20"/>
    </row>
    <row r="208" spans="1:12" ht="15.75" customHeight="1">
      <c r="A208" s="2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 spans="1:12" ht="39" customHeight="1">
      <c r="A209" s="8">
        <v>23</v>
      </c>
      <c r="B209" s="9" t="s">
        <v>2</v>
      </c>
      <c r="C209" s="22" t="str">
        <f>B27</f>
        <v>producto_foto</v>
      </c>
      <c r="D209" s="20"/>
      <c r="E209" s="23" t="s">
        <v>3</v>
      </c>
      <c r="F209" s="20"/>
      <c r="G209" s="22" t="str">
        <f>C27</f>
        <v>Fotografías asociadas a un producto del marketplace</v>
      </c>
      <c r="H209" s="24"/>
      <c r="I209" s="24"/>
      <c r="J209" s="20"/>
      <c r="K209" s="9" t="s">
        <v>128</v>
      </c>
      <c r="L209" s="10">
        <v>1</v>
      </c>
    </row>
    <row r="210" spans="1:12" ht="27.75" customHeight="1">
      <c r="A210" s="11" t="s">
        <v>1</v>
      </c>
      <c r="B210" s="11" t="s">
        <v>129</v>
      </c>
      <c r="C210" s="11" t="s">
        <v>130</v>
      </c>
      <c r="D210" s="11" t="s">
        <v>131</v>
      </c>
      <c r="E210" s="11" t="s">
        <v>132</v>
      </c>
      <c r="F210" s="11" t="s">
        <v>133</v>
      </c>
      <c r="G210" s="11" t="s">
        <v>134</v>
      </c>
      <c r="H210" s="11" t="s">
        <v>135</v>
      </c>
      <c r="I210" s="11" t="s">
        <v>136</v>
      </c>
      <c r="J210" s="11" t="s">
        <v>137</v>
      </c>
      <c r="K210" s="25" t="s">
        <v>138</v>
      </c>
      <c r="L210" s="20"/>
    </row>
    <row r="211" spans="1:12" ht="18" customHeight="1">
      <c r="A211" s="12">
        <v>1</v>
      </c>
      <c r="B211" s="13" t="s">
        <v>328</v>
      </c>
      <c r="C211" s="13" t="s">
        <v>329</v>
      </c>
      <c r="D211" s="13" t="s">
        <v>95</v>
      </c>
      <c r="E211" s="13" t="s">
        <v>96</v>
      </c>
      <c r="F211" s="13" t="s">
        <v>96</v>
      </c>
      <c r="G211" s="12" t="s">
        <v>141</v>
      </c>
      <c r="H211" s="12" t="s">
        <v>142</v>
      </c>
      <c r="I211" s="12"/>
      <c r="J211" s="12"/>
      <c r="K211" s="19" t="s">
        <v>143</v>
      </c>
      <c r="L211" s="20"/>
    </row>
    <row r="212" spans="1:12" ht="18" customHeight="1">
      <c r="A212" s="12">
        <v>2</v>
      </c>
      <c r="B212" s="13" t="s">
        <v>315</v>
      </c>
      <c r="C212" s="13" t="s">
        <v>330</v>
      </c>
      <c r="D212" s="13" t="s">
        <v>98</v>
      </c>
      <c r="E212" s="13" t="s">
        <v>196</v>
      </c>
      <c r="F212" s="13" t="s">
        <v>196</v>
      </c>
      <c r="G212" s="12" t="s">
        <v>141</v>
      </c>
      <c r="H212" s="12"/>
      <c r="I212" s="12" t="s">
        <v>142</v>
      </c>
      <c r="J212" s="12"/>
      <c r="K212" s="19" t="s">
        <v>331</v>
      </c>
      <c r="L212" s="20"/>
    </row>
    <row r="213" spans="1:12" ht="18" customHeight="1">
      <c r="A213" s="12">
        <v>3</v>
      </c>
      <c r="B213" s="13" t="s">
        <v>296</v>
      </c>
      <c r="C213" s="13" t="s">
        <v>332</v>
      </c>
      <c r="D213" s="13" t="s">
        <v>115</v>
      </c>
      <c r="E213" s="13" t="s">
        <v>116</v>
      </c>
      <c r="F213" s="13" t="s">
        <v>116</v>
      </c>
      <c r="G213" s="12" t="s">
        <v>141</v>
      </c>
      <c r="H213" s="12"/>
      <c r="I213" s="12"/>
      <c r="J213" s="12"/>
      <c r="K213" s="19"/>
      <c r="L213" s="20"/>
    </row>
    <row r="214" spans="1:12" ht="18" customHeight="1">
      <c r="A214" s="12">
        <v>4</v>
      </c>
      <c r="B214" s="13" t="s">
        <v>333</v>
      </c>
      <c r="C214" s="13" t="s">
        <v>334</v>
      </c>
      <c r="D214" s="13" t="s">
        <v>98</v>
      </c>
      <c r="E214" s="13" t="s">
        <v>202</v>
      </c>
      <c r="F214" s="13" t="s">
        <v>202</v>
      </c>
      <c r="G214" s="12"/>
      <c r="H214" s="12"/>
      <c r="I214" s="12"/>
      <c r="J214" s="12"/>
      <c r="K214" s="19" t="s">
        <v>335</v>
      </c>
      <c r="L214" s="20"/>
    </row>
    <row r="215" spans="1:12" ht="15.75" customHeight="1">
      <c r="A215" s="2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spans="1:12" ht="39" customHeight="1">
      <c r="A216" s="8">
        <v>24</v>
      </c>
      <c r="B216" s="9" t="s">
        <v>2</v>
      </c>
      <c r="C216" s="22" t="str">
        <f>B28</f>
        <v>intercambio</v>
      </c>
      <c r="D216" s="20"/>
      <c r="E216" s="23" t="s">
        <v>3</v>
      </c>
      <c r="F216" s="20"/>
      <c r="G216" s="22" t="str">
        <f>C28</f>
        <v>Registro de transacciones de compra o intercambio de productos</v>
      </c>
      <c r="H216" s="24"/>
      <c r="I216" s="24"/>
      <c r="J216" s="20"/>
      <c r="K216" s="9" t="s">
        <v>128</v>
      </c>
      <c r="L216" s="10">
        <v>1</v>
      </c>
    </row>
    <row r="217" spans="1:12" ht="27.75" customHeight="1">
      <c r="A217" s="11" t="s">
        <v>1</v>
      </c>
      <c r="B217" s="11" t="s">
        <v>129</v>
      </c>
      <c r="C217" s="11" t="s">
        <v>130</v>
      </c>
      <c r="D217" s="11" t="s">
        <v>131</v>
      </c>
      <c r="E217" s="11" t="s">
        <v>132</v>
      </c>
      <c r="F217" s="11" t="s">
        <v>133</v>
      </c>
      <c r="G217" s="11" t="s">
        <v>134</v>
      </c>
      <c r="H217" s="11" t="s">
        <v>135</v>
      </c>
      <c r="I217" s="11" t="s">
        <v>136</v>
      </c>
      <c r="J217" s="11" t="s">
        <v>137</v>
      </c>
      <c r="K217" s="25" t="s">
        <v>138</v>
      </c>
      <c r="L217" s="20"/>
    </row>
    <row r="218" spans="1:12" ht="18" customHeight="1">
      <c r="A218" s="12">
        <v>1</v>
      </c>
      <c r="B218" s="13" t="s">
        <v>336</v>
      </c>
      <c r="C218" s="13" t="s">
        <v>337</v>
      </c>
      <c r="D218" s="13" t="s">
        <v>95</v>
      </c>
      <c r="E218" s="13" t="s">
        <v>96</v>
      </c>
      <c r="F218" s="13" t="s">
        <v>96</v>
      </c>
      <c r="G218" s="12" t="s">
        <v>141</v>
      </c>
      <c r="H218" s="12" t="s">
        <v>142</v>
      </c>
      <c r="I218" s="12"/>
      <c r="J218" s="12"/>
      <c r="K218" s="19" t="s">
        <v>143</v>
      </c>
      <c r="L218" s="20"/>
    </row>
    <row r="219" spans="1:12" ht="18" customHeight="1">
      <c r="A219" s="12">
        <v>2</v>
      </c>
      <c r="B219" s="13" t="s">
        <v>315</v>
      </c>
      <c r="C219" s="13" t="s">
        <v>338</v>
      </c>
      <c r="D219" s="13" t="s">
        <v>98</v>
      </c>
      <c r="E219" s="13" t="s">
        <v>196</v>
      </c>
      <c r="F219" s="13" t="s">
        <v>196</v>
      </c>
      <c r="G219" s="12" t="s">
        <v>141</v>
      </c>
      <c r="H219" s="12"/>
      <c r="I219" s="12" t="s">
        <v>142</v>
      </c>
      <c r="J219" s="12"/>
      <c r="K219" s="19" t="s">
        <v>331</v>
      </c>
      <c r="L219" s="20"/>
    </row>
    <row r="220" spans="1:12" ht="18" customHeight="1">
      <c r="A220" s="12">
        <v>3</v>
      </c>
      <c r="B220" s="13" t="s">
        <v>339</v>
      </c>
      <c r="C220" s="13" t="s">
        <v>340</v>
      </c>
      <c r="D220" s="13" t="s">
        <v>98</v>
      </c>
      <c r="E220" s="13" t="s">
        <v>196</v>
      </c>
      <c r="F220" s="13" t="s">
        <v>196</v>
      </c>
      <c r="G220" s="12" t="s">
        <v>141</v>
      </c>
      <c r="H220" s="12"/>
      <c r="I220" s="12" t="s">
        <v>142</v>
      </c>
      <c r="J220" s="12"/>
      <c r="K220" s="19" t="s">
        <v>244</v>
      </c>
      <c r="L220" s="20"/>
    </row>
    <row r="221" spans="1:12" ht="18" customHeight="1">
      <c r="A221" s="12">
        <v>4</v>
      </c>
      <c r="B221" s="13" t="s">
        <v>341</v>
      </c>
      <c r="C221" s="13" t="s">
        <v>342</v>
      </c>
      <c r="D221" s="13" t="s">
        <v>110</v>
      </c>
      <c r="E221" s="13" t="s">
        <v>111</v>
      </c>
      <c r="F221" s="13" t="s">
        <v>111</v>
      </c>
      <c r="G221" s="12"/>
      <c r="H221" s="12"/>
      <c r="I221" s="12"/>
      <c r="J221" s="12"/>
      <c r="K221" s="19" t="s">
        <v>187</v>
      </c>
      <c r="L221" s="20"/>
    </row>
    <row r="222" spans="1:12" ht="18" customHeight="1">
      <c r="A222" s="12">
        <v>5</v>
      </c>
      <c r="B222" s="13" t="s">
        <v>192</v>
      </c>
      <c r="C222" s="13" t="s">
        <v>343</v>
      </c>
      <c r="D222" s="13" t="s">
        <v>106</v>
      </c>
      <c r="E222" s="13" t="s">
        <v>146</v>
      </c>
      <c r="F222" s="13" t="s">
        <v>146</v>
      </c>
      <c r="G222" s="12"/>
      <c r="H222" s="12"/>
      <c r="I222" s="12"/>
      <c r="J222" s="12"/>
      <c r="K222" s="19" t="s">
        <v>344</v>
      </c>
      <c r="L222" s="20"/>
    </row>
    <row r="223" spans="1:12" ht="15.75" customHeight="1">
      <c r="A223" s="2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spans="1:12" ht="39" customHeight="1">
      <c r="A224" s="8">
        <v>25</v>
      </c>
      <c r="B224" s="9" t="s">
        <v>2</v>
      </c>
      <c r="C224" s="22" t="str">
        <f>B29</f>
        <v>oferta_laboral</v>
      </c>
      <c r="D224" s="20"/>
      <c r="E224" s="23" t="s">
        <v>3</v>
      </c>
      <c r="F224" s="20"/>
      <c r="G224" s="22" t="str">
        <f>C29</f>
        <v>Ofertas de trabajo publicadas por empresas registradas</v>
      </c>
      <c r="H224" s="24"/>
      <c r="I224" s="24"/>
      <c r="J224" s="20"/>
      <c r="K224" s="9" t="s">
        <v>128</v>
      </c>
      <c r="L224" s="10">
        <v>1</v>
      </c>
    </row>
    <row r="225" spans="1:12" ht="27.75" customHeight="1">
      <c r="A225" s="11" t="s">
        <v>1</v>
      </c>
      <c r="B225" s="11" t="s">
        <v>129</v>
      </c>
      <c r="C225" s="11" t="s">
        <v>130</v>
      </c>
      <c r="D225" s="11" t="s">
        <v>131</v>
      </c>
      <c r="E225" s="11" t="s">
        <v>132</v>
      </c>
      <c r="F225" s="11" t="s">
        <v>133</v>
      </c>
      <c r="G225" s="11" t="s">
        <v>134</v>
      </c>
      <c r="H225" s="11" t="s">
        <v>135</v>
      </c>
      <c r="I225" s="11" t="s">
        <v>136</v>
      </c>
      <c r="J225" s="11" t="s">
        <v>137</v>
      </c>
      <c r="K225" s="25" t="s">
        <v>138</v>
      </c>
      <c r="L225" s="20"/>
    </row>
    <row r="226" spans="1:12" ht="18" customHeight="1">
      <c r="A226" s="12">
        <v>1</v>
      </c>
      <c r="B226" s="13" t="s">
        <v>345</v>
      </c>
      <c r="C226" s="13" t="s">
        <v>346</v>
      </c>
      <c r="D226" s="13" t="s">
        <v>95</v>
      </c>
      <c r="E226" s="13" t="s">
        <v>96</v>
      </c>
      <c r="F226" s="13" t="s">
        <v>96</v>
      </c>
      <c r="G226" s="12" t="s">
        <v>141</v>
      </c>
      <c r="H226" s="12" t="s">
        <v>142</v>
      </c>
      <c r="I226" s="12"/>
      <c r="J226" s="12"/>
      <c r="K226" s="19" t="s">
        <v>143</v>
      </c>
      <c r="L226" s="20"/>
    </row>
    <row r="227" spans="1:12" ht="18" customHeight="1">
      <c r="A227" s="12">
        <v>2</v>
      </c>
      <c r="B227" s="13" t="s">
        <v>166</v>
      </c>
      <c r="C227" s="13" t="s">
        <v>347</v>
      </c>
      <c r="D227" s="13" t="s">
        <v>98</v>
      </c>
      <c r="E227" s="13" t="s">
        <v>196</v>
      </c>
      <c r="F227" s="13" t="s">
        <v>196</v>
      </c>
      <c r="G227" s="12" t="s">
        <v>141</v>
      </c>
      <c r="H227" s="12"/>
      <c r="I227" s="12" t="s">
        <v>142</v>
      </c>
      <c r="J227" s="12"/>
      <c r="K227" s="19" t="s">
        <v>348</v>
      </c>
      <c r="L227" s="20"/>
    </row>
    <row r="228" spans="1:12" ht="18" customHeight="1">
      <c r="A228" s="12">
        <v>3</v>
      </c>
      <c r="B228" s="13" t="s">
        <v>349</v>
      </c>
      <c r="C228" s="13" t="s">
        <v>350</v>
      </c>
      <c r="D228" s="13" t="s">
        <v>106</v>
      </c>
      <c r="E228" s="13" t="s">
        <v>150</v>
      </c>
      <c r="F228" s="13" t="s">
        <v>150</v>
      </c>
      <c r="G228" s="12" t="s">
        <v>141</v>
      </c>
      <c r="H228" s="12"/>
      <c r="I228" s="12"/>
      <c r="J228" s="12"/>
      <c r="K228" s="19"/>
      <c r="L228" s="20"/>
    </row>
    <row r="229" spans="1:12" ht="18" customHeight="1">
      <c r="A229" s="12">
        <v>4</v>
      </c>
      <c r="B229" s="13" t="s">
        <v>169</v>
      </c>
      <c r="C229" s="13" t="s">
        <v>351</v>
      </c>
      <c r="D229" s="13" t="s">
        <v>104</v>
      </c>
      <c r="E229" s="13" t="s">
        <v>105</v>
      </c>
      <c r="F229" s="13" t="s">
        <v>105</v>
      </c>
      <c r="G229" s="12"/>
      <c r="H229" s="12"/>
      <c r="I229" s="12"/>
      <c r="J229" s="12"/>
      <c r="K229" s="19"/>
      <c r="L229" s="20"/>
    </row>
    <row r="230" spans="1:12" ht="18" customHeight="1">
      <c r="A230" s="12">
        <v>5</v>
      </c>
      <c r="B230" s="13" t="s">
        <v>272</v>
      </c>
      <c r="C230" s="13" t="s">
        <v>352</v>
      </c>
      <c r="D230" s="13" t="s">
        <v>106</v>
      </c>
      <c r="E230" s="13" t="s">
        <v>156</v>
      </c>
      <c r="F230" s="13" t="s">
        <v>156</v>
      </c>
      <c r="G230" s="12"/>
      <c r="H230" s="12"/>
      <c r="I230" s="12"/>
      <c r="J230" s="12"/>
      <c r="K230" s="19"/>
      <c r="L230" s="20"/>
    </row>
    <row r="231" spans="1:12" ht="18" customHeight="1">
      <c r="A231" s="12">
        <v>6</v>
      </c>
      <c r="B231" s="13" t="s">
        <v>326</v>
      </c>
      <c r="C231" s="13" t="s">
        <v>353</v>
      </c>
      <c r="D231" s="13" t="s">
        <v>110</v>
      </c>
      <c r="E231" s="13" t="s">
        <v>111</v>
      </c>
      <c r="F231" s="13" t="s">
        <v>111</v>
      </c>
      <c r="G231" s="12"/>
      <c r="H231" s="12"/>
      <c r="I231" s="12"/>
      <c r="J231" s="12"/>
      <c r="K231" s="19" t="s">
        <v>187</v>
      </c>
      <c r="L231" s="20"/>
    </row>
    <row r="232" spans="1:12" ht="18" customHeight="1">
      <c r="A232" s="12">
        <v>7</v>
      </c>
      <c r="B232" s="13" t="s">
        <v>354</v>
      </c>
      <c r="C232" s="13" t="s">
        <v>355</v>
      </c>
      <c r="D232" s="13" t="s">
        <v>108</v>
      </c>
      <c r="E232" s="13" t="s">
        <v>109</v>
      </c>
      <c r="F232" s="13" t="s">
        <v>109</v>
      </c>
      <c r="G232" s="12"/>
      <c r="H232" s="12"/>
      <c r="I232" s="12"/>
      <c r="J232" s="12"/>
      <c r="K232" s="19"/>
      <c r="L232" s="20"/>
    </row>
    <row r="233" spans="1:12" ht="18" customHeight="1">
      <c r="A233" s="12">
        <v>8</v>
      </c>
      <c r="B233" s="13" t="s">
        <v>192</v>
      </c>
      <c r="C233" s="13" t="s">
        <v>356</v>
      </c>
      <c r="D233" s="13" t="s">
        <v>106</v>
      </c>
      <c r="E233" s="13" t="s">
        <v>146</v>
      </c>
      <c r="F233" s="13" t="s">
        <v>146</v>
      </c>
      <c r="G233" s="12"/>
      <c r="H233" s="12"/>
      <c r="I233" s="12"/>
      <c r="J233" s="12"/>
      <c r="K233" s="19" t="s">
        <v>357</v>
      </c>
      <c r="L233" s="20"/>
    </row>
    <row r="234" spans="1:12" ht="15.75" customHeight="1">
      <c r="A234" s="2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</row>
    <row r="235" spans="1:12" ht="39" customHeight="1">
      <c r="A235" s="8">
        <v>26</v>
      </c>
      <c r="B235" s="9" t="s">
        <v>2</v>
      </c>
      <c r="C235" s="22" t="str">
        <f>B30</f>
        <v>oferta_requisito</v>
      </c>
      <c r="D235" s="20"/>
      <c r="E235" s="23" t="s">
        <v>3</v>
      </c>
      <c r="F235" s="20"/>
      <c r="G235" s="22" t="str">
        <f>C30</f>
        <v>Requisitos específicos asociados a una oferta laboral</v>
      </c>
      <c r="H235" s="24"/>
      <c r="I235" s="24"/>
      <c r="J235" s="20"/>
      <c r="K235" s="9" t="s">
        <v>128</v>
      </c>
      <c r="L235" s="10">
        <v>1</v>
      </c>
    </row>
    <row r="236" spans="1:12" ht="27.75" customHeight="1">
      <c r="A236" s="11" t="s">
        <v>1</v>
      </c>
      <c r="B236" s="11" t="s">
        <v>129</v>
      </c>
      <c r="C236" s="11" t="s">
        <v>130</v>
      </c>
      <c r="D236" s="11" t="s">
        <v>131</v>
      </c>
      <c r="E236" s="11" t="s">
        <v>132</v>
      </c>
      <c r="F236" s="11" t="s">
        <v>133</v>
      </c>
      <c r="G236" s="11" t="s">
        <v>134</v>
      </c>
      <c r="H236" s="11" t="s">
        <v>135</v>
      </c>
      <c r="I236" s="11" t="s">
        <v>136</v>
      </c>
      <c r="J236" s="11" t="s">
        <v>137</v>
      </c>
      <c r="K236" s="25" t="s">
        <v>138</v>
      </c>
      <c r="L236" s="20"/>
    </row>
    <row r="237" spans="1:12" ht="18" customHeight="1">
      <c r="A237" s="12">
        <v>1</v>
      </c>
      <c r="B237" s="13" t="s">
        <v>358</v>
      </c>
      <c r="C237" s="13" t="s">
        <v>359</v>
      </c>
      <c r="D237" s="13" t="s">
        <v>95</v>
      </c>
      <c r="E237" s="13" t="s">
        <v>96</v>
      </c>
      <c r="F237" s="13" t="s">
        <v>96</v>
      </c>
      <c r="G237" s="12" t="s">
        <v>141</v>
      </c>
      <c r="H237" s="12" t="s">
        <v>142</v>
      </c>
      <c r="I237" s="12"/>
      <c r="J237" s="12"/>
      <c r="K237" s="19" t="s">
        <v>143</v>
      </c>
      <c r="L237" s="20"/>
    </row>
    <row r="238" spans="1:12" ht="18" customHeight="1">
      <c r="A238" s="12">
        <v>2</v>
      </c>
      <c r="B238" s="13" t="s">
        <v>345</v>
      </c>
      <c r="C238" s="13" t="s">
        <v>360</v>
      </c>
      <c r="D238" s="13" t="s">
        <v>98</v>
      </c>
      <c r="E238" s="13" t="s">
        <v>196</v>
      </c>
      <c r="F238" s="13" t="s">
        <v>196</v>
      </c>
      <c r="G238" s="12" t="s">
        <v>141</v>
      </c>
      <c r="H238" s="12"/>
      <c r="I238" s="12" t="s">
        <v>142</v>
      </c>
      <c r="J238" s="12"/>
      <c r="K238" s="19" t="s">
        <v>361</v>
      </c>
      <c r="L238" s="20"/>
    </row>
    <row r="239" spans="1:12" ht="18" customHeight="1">
      <c r="A239" s="12">
        <v>3</v>
      </c>
      <c r="B239" s="13" t="s">
        <v>169</v>
      </c>
      <c r="C239" s="13" t="s">
        <v>362</v>
      </c>
      <c r="D239" s="13" t="s">
        <v>106</v>
      </c>
      <c r="E239" s="13" t="s">
        <v>116</v>
      </c>
      <c r="F239" s="13" t="s">
        <v>116</v>
      </c>
      <c r="G239" s="12" t="s">
        <v>141</v>
      </c>
      <c r="H239" s="12"/>
      <c r="I239" s="12"/>
      <c r="J239" s="12"/>
      <c r="K239" s="19"/>
      <c r="L239" s="20"/>
    </row>
    <row r="240" spans="1:12" ht="15.75" customHeight="1">
      <c r="A240" s="2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</row>
    <row r="241" spans="1:12" ht="39" customHeight="1">
      <c r="A241" s="8">
        <v>27</v>
      </c>
      <c r="B241" s="9" t="s">
        <v>2</v>
      </c>
      <c r="C241" s="22" t="str">
        <f>B31</f>
        <v>postulacion</v>
      </c>
      <c r="D241" s="20"/>
      <c r="E241" s="23" t="s">
        <v>3</v>
      </c>
      <c r="F241" s="20"/>
      <c r="G241" s="22" t="str">
        <f>C31</f>
        <v>Postulaciones de usuarios a ofertas laborales</v>
      </c>
      <c r="H241" s="24"/>
      <c r="I241" s="24"/>
      <c r="J241" s="20"/>
      <c r="K241" s="9" t="s">
        <v>128</v>
      </c>
      <c r="L241" s="10">
        <v>1</v>
      </c>
    </row>
    <row r="242" spans="1:12" ht="27.75" customHeight="1">
      <c r="A242" s="11" t="s">
        <v>1</v>
      </c>
      <c r="B242" s="11" t="s">
        <v>129</v>
      </c>
      <c r="C242" s="11" t="s">
        <v>130</v>
      </c>
      <c r="D242" s="11" t="s">
        <v>131</v>
      </c>
      <c r="E242" s="11" t="s">
        <v>132</v>
      </c>
      <c r="F242" s="11" t="s">
        <v>133</v>
      </c>
      <c r="G242" s="11" t="s">
        <v>134</v>
      </c>
      <c r="H242" s="11" t="s">
        <v>135</v>
      </c>
      <c r="I242" s="11" t="s">
        <v>136</v>
      </c>
      <c r="J242" s="11" t="s">
        <v>137</v>
      </c>
      <c r="K242" s="25" t="s">
        <v>138</v>
      </c>
      <c r="L242" s="20"/>
    </row>
    <row r="243" spans="1:12" ht="18" customHeight="1">
      <c r="A243" s="12">
        <v>1</v>
      </c>
      <c r="B243" s="13" t="s">
        <v>175</v>
      </c>
      <c r="C243" s="13" t="s">
        <v>363</v>
      </c>
      <c r="D243" s="13" t="s">
        <v>98</v>
      </c>
      <c r="E243" s="13" t="s">
        <v>196</v>
      </c>
      <c r="F243" s="13" t="s">
        <v>196</v>
      </c>
      <c r="G243" s="12" t="s">
        <v>141</v>
      </c>
      <c r="H243" s="12" t="s">
        <v>142</v>
      </c>
      <c r="I243" s="12" t="s">
        <v>142</v>
      </c>
      <c r="J243" s="12"/>
      <c r="K243" s="19" t="s">
        <v>230</v>
      </c>
      <c r="L243" s="20"/>
    </row>
    <row r="244" spans="1:12" ht="18" customHeight="1">
      <c r="A244" s="12">
        <v>2</v>
      </c>
      <c r="B244" s="13" t="s">
        <v>345</v>
      </c>
      <c r="C244" s="13" t="s">
        <v>360</v>
      </c>
      <c r="D244" s="13" t="s">
        <v>98</v>
      </c>
      <c r="E244" s="13" t="s">
        <v>196</v>
      </c>
      <c r="F244" s="13" t="s">
        <v>196</v>
      </c>
      <c r="G244" s="12" t="s">
        <v>141</v>
      </c>
      <c r="H244" s="12" t="s">
        <v>142</v>
      </c>
      <c r="I244" s="12" t="s">
        <v>142</v>
      </c>
      <c r="J244" s="12"/>
      <c r="K244" s="19" t="s">
        <v>230</v>
      </c>
      <c r="L244" s="20"/>
    </row>
    <row r="245" spans="1:12" ht="18" customHeight="1">
      <c r="A245" s="12">
        <v>3</v>
      </c>
      <c r="B245" s="13" t="s">
        <v>341</v>
      </c>
      <c r="C245" s="13" t="s">
        <v>364</v>
      </c>
      <c r="D245" s="13" t="s">
        <v>110</v>
      </c>
      <c r="E245" s="13" t="s">
        <v>111</v>
      </c>
      <c r="F245" s="13" t="s">
        <v>111</v>
      </c>
      <c r="G245" s="12"/>
      <c r="H245" s="12"/>
      <c r="I245" s="12"/>
      <c r="J245" s="12"/>
      <c r="K245" s="19" t="s">
        <v>187</v>
      </c>
      <c r="L245" s="20"/>
    </row>
    <row r="246" spans="1:12" ht="18" customHeight="1">
      <c r="A246" s="12">
        <v>4</v>
      </c>
      <c r="B246" s="13" t="s">
        <v>192</v>
      </c>
      <c r="C246" s="13" t="s">
        <v>365</v>
      </c>
      <c r="D246" s="13" t="s">
        <v>106</v>
      </c>
      <c r="E246" s="13" t="s">
        <v>146</v>
      </c>
      <c r="F246" s="13" t="s">
        <v>146</v>
      </c>
      <c r="G246" s="12"/>
      <c r="H246" s="12"/>
      <c r="I246" s="12"/>
      <c r="J246" s="12"/>
      <c r="K246" s="19" t="s">
        <v>366</v>
      </c>
      <c r="L246" s="20"/>
    </row>
    <row r="247" spans="1:12" ht="15.75" customHeight="1">
      <c r="A247" s="2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 spans="1:12" ht="39" customHeight="1">
      <c r="A248" s="8">
        <v>28</v>
      </c>
      <c r="B248" s="9" t="s">
        <v>2</v>
      </c>
      <c r="C248" s="22" t="str">
        <f>B32</f>
        <v>mensaje</v>
      </c>
      <c r="D248" s="20"/>
      <c r="E248" s="23" t="s">
        <v>3</v>
      </c>
      <c r="F248" s="20"/>
      <c r="G248" s="22" t="str">
        <f>C32</f>
        <v>Mensajes directos intercambiados entre usuarios de la plataforma</v>
      </c>
      <c r="H248" s="24"/>
      <c r="I248" s="24"/>
      <c r="J248" s="20"/>
      <c r="K248" s="9" t="s">
        <v>128</v>
      </c>
      <c r="L248" s="10">
        <v>1</v>
      </c>
    </row>
    <row r="249" spans="1:12" ht="27.75" customHeight="1">
      <c r="A249" s="11" t="s">
        <v>1</v>
      </c>
      <c r="B249" s="11" t="s">
        <v>129</v>
      </c>
      <c r="C249" s="11" t="s">
        <v>130</v>
      </c>
      <c r="D249" s="11" t="s">
        <v>131</v>
      </c>
      <c r="E249" s="11" t="s">
        <v>132</v>
      </c>
      <c r="F249" s="11" t="s">
        <v>133</v>
      </c>
      <c r="G249" s="11" t="s">
        <v>134</v>
      </c>
      <c r="H249" s="11" t="s">
        <v>135</v>
      </c>
      <c r="I249" s="11" t="s">
        <v>136</v>
      </c>
      <c r="J249" s="11" t="s">
        <v>137</v>
      </c>
      <c r="K249" s="25" t="s">
        <v>138</v>
      </c>
      <c r="L249" s="20"/>
    </row>
    <row r="250" spans="1:12" ht="18" customHeight="1">
      <c r="A250" s="12">
        <v>1</v>
      </c>
      <c r="B250" s="13" t="s">
        <v>367</v>
      </c>
      <c r="C250" s="13" t="s">
        <v>368</v>
      </c>
      <c r="D250" s="13" t="s">
        <v>95</v>
      </c>
      <c r="E250" s="13" t="s">
        <v>96</v>
      </c>
      <c r="F250" s="13" t="s">
        <v>96</v>
      </c>
      <c r="G250" s="12" t="s">
        <v>141</v>
      </c>
      <c r="H250" s="12" t="s">
        <v>142</v>
      </c>
      <c r="I250" s="12"/>
      <c r="J250" s="12"/>
      <c r="K250" s="19" t="s">
        <v>143</v>
      </c>
      <c r="L250" s="20"/>
    </row>
    <row r="251" spans="1:12" ht="18" customHeight="1">
      <c r="A251" s="12">
        <v>2</v>
      </c>
      <c r="B251" s="13" t="s">
        <v>369</v>
      </c>
      <c r="C251" s="13" t="s">
        <v>370</v>
      </c>
      <c r="D251" s="13" t="s">
        <v>98</v>
      </c>
      <c r="E251" s="13" t="s">
        <v>196</v>
      </c>
      <c r="F251" s="13" t="s">
        <v>196</v>
      </c>
      <c r="G251" s="12" t="s">
        <v>141</v>
      </c>
      <c r="H251" s="12"/>
      <c r="I251" s="12" t="s">
        <v>142</v>
      </c>
      <c r="J251" s="12"/>
      <c r="K251" s="19" t="s">
        <v>371</v>
      </c>
      <c r="L251" s="20"/>
    </row>
    <row r="252" spans="1:12" ht="18" customHeight="1">
      <c r="A252" s="12">
        <v>3</v>
      </c>
      <c r="B252" s="13" t="s">
        <v>372</v>
      </c>
      <c r="C252" s="13" t="s">
        <v>373</v>
      </c>
      <c r="D252" s="13" t="s">
        <v>98</v>
      </c>
      <c r="E252" s="13" t="s">
        <v>196</v>
      </c>
      <c r="F252" s="13" t="s">
        <v>196</v>
      </c>
      <c r="G252" s="12" t="s">
        <v>141</v>
      </c>
      <c r="H252" s="12"/>
      <c r="I252" s="12" t="s">
        <v>142</v>
      </c>
      <c r="J252" s="12"/>
      <c r="K252" s="19" t="s">
        <v>244</v>
      </c>
      <c r="L252" s="20"/>
    </row>
    <row r="253" spans="1:12" ht="18" customHeight="1">
      <c r="A253" s="12">
        <v>4</v>
      </c>
      <c r="B253" s="13" t="s">
        <v>286</v>
      </c>
      <c r="C253" s="13" t="s">
        <v>374</v>
      </c>
      <c r="D253" s="13" t="s">
        <v>104</v>
      </c>
      <c r="E253" s="13" t="s">
        <v>105</v>
      </c>
      <c r="F253" s="13" t="s">
        <v>105</v>
      </c>
      <c r="G253" s="12" t="s">
        <v>141</v>
      </c>
      <c r="H253" s="12"/>
      <c r="I253" s="12"/>
      <c r="J253" s="12"/>
      <c r="K253" s="19"/>
      <c r="L253" s="20"/>
    </row>
    <row r="254" spans="1:12" ht="18" customHeight="1">
      <c r="A254" s="12">
        <v>5</v>
      </c>
      <c r="B254" s="13" t="s">
        <v>375</v>
      </c>
      <c r="C254" s="13" t="s">
        <v>376</v>
      </c>
      <c r="D254" s="13" t="s">
        <v>110</v>
      </c>
      <c r="E254" s="13" t="s">
        <v>111</v>
      </c>
      <c r="F254" s="13" t="s">
        <v>111</v>
      </c>
      <c r="G254" s="12"/>
      <c r="H254" s="12"/>
      <c r="I254" s="12"/>
      <c r="J254" s="12"/>
      <c r="K254" s="19" t="s">
        <v>187</v>
      </c>
      <c r="L254" s="20"/>
    </row>
    <row r="255" spans="1:12" ht="18" customHeight="1">
      <c r="A255" s="12">
        <v>6</v>
      </c>
      <c r="B255" s="13" t="s">
        <v>377</v>
      </c>
      <c r="C255" s="13" t="s">
        <v>378</v>
      </c>
      <c r="D255" s="13" t="s">
        <v>102</v>
      </c>
      <c r="E255" s="13" t="s">
        <v>103</v>
      </c>
      <c r="F255" s="13" t="s">
        <v>103</v>
      </c>
      <c r="G255" s="12"/>
      <c r="H255" s="12"/>
      <c r="I255" s="12"/>
      <c r="J255" s="12"/>
      <c r="K255" s="19" t="s">
        <v>379</v>
      </c>
      <c r="L255" s="20"/>
    </row>
    <row r="256" spans="1:12" ht="15.75" customHeight="1">
      <c r="A256" s="2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 spans="1:12" ht="39" customHeight="1">
      <c r="A257" s="8">
        <v>29</v>
      </c>
      <c r="B257" s="9" t="s">
        <v>2</v>
      </c>
      <c r="C257" s="22" t="str">
        <f>B33</f>
        <v>notificacion</v>
      </c>
      <c r="D257" s="20"/>
      <c r="E257" s="23" t="s">
        <v>3</v>
      </c>
      <c r="F257" s="20"/>
      <c r="G257" s="22" t="str">
        <f>C33</f>
        <v>Notificaciones generadas por el sistema para informar eventos al usuario</v>
      </c>
      <c r="H257" s="24"/>
      <c r="I257" s="24"/>
      <c r="J257" s="20"/>
      <c r="K257" s="9" t="s">
        <v>128</v>
      </c>
      <c r="L257" s="10">
        <v>1</v>
      </c>
    </row>
    <row r="258" spans="1:12" ht="27.75" customHeight="1">
      <c r="A258" s="11" t="s">
        <v>1</v>
      </c>
      <c r="B258" s="11" t="s">
        <v>129</v>
      </c>
      <c r="C258" s="11" t="s">
        <v>130</v>
      </c>
      <c r="D258" s="11" t="s">
        <v>131</v>
      </c>
      <c r="E258" s="11" t="s">
        <v>132</v>
      </c>
      <c r="F258" s="11" t="s">
        <v>133</v>
      </c>
      <c r="G258" s="11" t="s">
        <v>134</v>
      </c>
      <c r="H258" s="11" t="s">
        <v>135</v>
      </c>
      <c r="I258" s="11" t="s">
        <v>136</v>
      </c>
      <c r="J258" s="11" t="s">
        <v>137</v>
      </c>
      <c r="K258" s="25" t="s">
        <v>138</v>
      </c>
      <c r="L258" s="20"/>
    </row>
    <row r="259" spans="1:12" ht="18" customHeight="1">
      <c r="A259" s="12">
        <v>1</v>
      </c>
      <c r="B259" s="13" t="s">
        <v>380</v>
      </c>
      <c r="C259" s="13" t="s">
        <v>381</v>
      </c>
      <c r="D259" s="13" t="s">
        <v>95</v>
      </c>
      <c r="E259" s="13" t="s">
        <v>96</v>
      </c>
      <c r="F259" s="13" t="s">
        <v>96</v>
      </c>
      <c r="G259" s="12" t="s">
        <v>141</v>
      </c>
      <c r="H259" s="12" t="s">
        <v>142</v>
      </c>
      <c r="I259" s="12"/>
      <c r="J259" s="12"/>
      <c r="K259" s="19" t="s">
        <v>143</v>
      </c>
      <c r="L259" s="20"/>
    </row>
    <row r="260" spans="1:12" ht="18" customHeight="1">
      <c r="A260" s="12">
        <v>2</v>
      </c>
      <c r="B260" s="13" t="s">
        <v>175</v>
      </c>
      <c r="C260" s="13" t="s">
        <v>382</v>
      </c>
      <c r="D260" s="13" t="s">
        <v>98</v>
      </c>
      <c r="E260" s="13" t="s">
        <v>196</v>
      </c>
      <c r="F260" s="13" t="s">
        <v>196</v>
      </c>
      <c r="G260" s="12" t="s">
        <v>141</v>
      </c>
      <c r="H260" s="12"/>
      <c r="I260" s="12" t="s">
        <v>142</v>
      </c>
      <c r="J260" s="12"/>
      <c r="K260" s="19" t="s">
        <v>244</v>
      </c>
      <c r="L260" s="20"/>
    </row>
    <row r="261" spans="1:12" ht="18" customHeight="1">
      <c r="A261" s="12">
        <v>3</v>
      </c>
      <c r="B261" s="13" t="s">
        <v>247</v>
      </c>
      <c r="C261" s="13" t="s">
        <v>383</v>
      </c>
      <c r="D261" s="13" t="s">
        <v>106</v>
      </c>
      <c r="E261" s="13" t="s">
        <v>156</v>
      </c>
      <c r="F261" s="13" t="s">
        <v>156</v>
      </c>
      <c r="G261" s="12"/>
      <c r="H261" s="12"/>
      <c r="I261" s="12"/>
      <c r="J261" s="12"/>
      <c r="K261" s="19"/>
      <c r="L261" s="20"/>
    </row>
    <row r="262" spans="1:12" ht="18" customHeight="1">
      <c r="A262" s="12">
        <v>4</v>
      </c>
      <c r="B262" s="13" t="s">
        <v>286</v>
      </c>
      <c r="C262" s="13" t="s">
        <v>384</v>
      </c>
      <c r="D262" s="13" t="s">
        <v>106</v>
      </c>
      <c r="E262" s="13" t="s">
        <v>116</v>
      </c>
      <c r="F262" s="13" t="s">
        <v>116</v>
      </c>
      <c r="G262" s="12"/>
      <c r="H262" s="12"/>
      <c r="I262" s="12"/>
      <c r="J262" s="12"/>
      <c r="K262" s="19"/>
      <c r="L262" s="20"/>
    </row>
    <row r="263" spans="1:12" ht="18" customHeight="1">
      <c r="A263" s="12">
        <v>5</v>
      </c>
      <c r="B263" s="13" t="s">
        <v>250</v>
      </c>
      <c r="C263" s="13" t="s">
        <v>385</v>
      </c>
      <c r="D263" s="13" t="s">
        <v>110</v>
      </c>
      <c r="E263" s="13" t="s">
        <v>111</v>
      </c>
      <c r="F263" s="13" t="s">
        <v>111</v>
      </c>
      <c r="G263" s="12"/>
      <c r="H263" s="12"/>
      <c r="I263" s="12"/>
      <c r="J263" s="12"/>
      <c r="K263" s="19" t="s">
        <v>187</v>
      </c>
      <c r="L263" s="20"/>
    </row>
    <row r="264" spans="1:12" ht="18" customHeight="1">
      <c r="A264" s="12">
        <v>6</v>
      </c>
      <c r="B264" s="13" t="s">
        <v>386</v>
      </c>
      <c r="C264" s="13" t="s">
        <v>387</v>
      </c>
      <c r="D264" s="13" t="s">
        <v>102</v>
      </c>
      <c r="E264" s="13" t="s">
        <v>103</v>
      </c>
      <c r="F264" s="13" t="s">
        <v>103</v>
      </c>
      <c r="G264" s="12"/>
      <c r="H264" s="12"/>
      <c r="I264" s="12"/>
      <c r="J264" s="12"/>
      <c r="K264" s="19" t="s">
        <v>379</v>
      </c>
      <c r="L264" s="20"/>
    </row>
    <row r="265" spans="1:12" ht="15.75" customHeight="1">
      <c r="A265" s="21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</row>
    <row r="266" spans="1:12" ht="39" customHeight="1">
      <c r="A266" s="8">
        <v>30</v>
      </c>
      <c r="B266" s="9" t="s">
        <v>2</v>
      </c>
      <c r="C266" s="22" t="str">
        <f>B34</f>
        <v>reporte</v>
      </c>
      <c r="D266" s="20"/>
      <c r="E266" s="23" t="s">
        <v>3</v>
      </c>
      <c r="F266" s="20"/>
      <c r="G266" s="22" t="str">
        <f>C34</f>
        <v>Reportes de contenido inapropiado realizados por usuarios</v>
      </c>
      <c r="H266" s="24"/>
      <c r="I266" s="24"/>
      <c r="J266" s="20"/>
      <c r="K266" s="9" t="s">
        <v>128</v>
      </c>
      <c r="L266" s="10">
        <v>1</v>
      </c>
    </row>
    <row r="267" spans="1:12" ht="27.75" customHeight="1">
      <c r="A267" s="11" t="s">
        <v>1</v>
      </c>
      <c r="B267" s="11" t="s">
        <v>129</v>
      </c>
      <c r="C267" s="11" t="s">
        <v>130</v>
      </c>
      <c r="D267" s="11" t="s">
        <v>131</v>
      </c>
      <c r="E267" s="11" t="s">
        <v>132</v>
      </c>
      <c r="F267" s="11" t="s">
        <v>133</v>
      </c>
      <c r="G267" s="11" t="s">
        <v>134</v>
      </c>
      <c r="H267" s="11" t="s">
        <v>135</v>
      </c>
      <c r="I267" s="11" t="s">
        <v>136</v>
      </c>
      <c r="J267" s="11" t="s">
        <v>137</v>
      </c>
      <c r="K267" s="25" t="s">
        <v>138</v>
      </c>
      <c r="L267" s="20"/>
    </row>
    <row r="268" spans="1:12" ht="18" customHeight="1">
      <c r="A268" s="12">
        <v>1</v>
      </c>
      <c r="B268" s="13" t="s">
        <v>388</v>
      </c>
      <c r="C268" s="13" t="s">
        <v>389</v>
      </c>
      <c r="D268" s="13" t="s">
        <v>95</v>
      </c>
      <c r="E268" s="13" t="s">
        <v>96</v>
      </c>
      <c r="F268" s="13" t="s">
        <v>96</v>
      </c>
      <c r="G268" s="12" t="s">
        <v>141</v>
      </c>
      <c r="H268" s="12" t="s">
        <v>142</v>
      </c>
      <c r="I268" s="12"/>
      <c r="J268" s="12"/>
      <c r="K268" s="19" t="s">
        <v>143</v>
      </c>
      <c r="L268" s="20"/>
    </row>
    <row r="269" spans="1:12" ht="18" customHeight="1">
      <c r="A269" s="12">
        <v>2</v>
      </c>
      <c r="B269" s="13" t="s">
        <v>390</v>
      </c>
      <c r="C269" s="13" t="s">
        <v>391</v>
      </c>
      <c r="D269" s="13" t="s">
        <v>98</v>
      </c>
      <c r="E269" s="13" t="s">
        <v>196</v>
      </c>
      <c r="F269" s="13" t="s">
        <v>196</v>
      </c>
      <c r="G269" s="12" t="s">
        <v>141</v>
      </c>
      <c r="H269" s="12"/>
      <c r="I269" s="12" t="s">
        <v>142</v>
      </c>
      <c r="J269" s="12"/>
      <c r="K269" s="19" t="s">
        <v>244</v>
      </c>
      <c r="L269" s="20"/>
    </row>
    <row r="270" spans="1:12" ht="18" customHeight="1">
      <c r="A270" s="12">
        <v>3</v>
      </c>
      <c r="B270" s="13" t="s">
        <v>247</v>
      </c>
      <c r="C270" s="13" t="s">
        <v>392</v>
      </c>
      <c r="D270" s="13" t="s">
        <v>106</v>
      </c>
      <c r="E270" s="13" t="s">
        <v>156</v>
      </c>
      <c r="F270" s="13" t="s">
        <v>156</v>
      </c>
      <c r="G270" s="12"/>
      <c r="H270" s="12"/>
      <c r="I270" s="12"/>
      <c r="J270" s="12"/>
      <c r="K270" s="19"/>
      <c r="L270" s="20"/>
    </row>
    <row r="271" spans="1:12" ht="18" customHeight="1">
      <c r="A271" s="12">
        <v>4</v>
      </c>
      <c r="B271" s="13" t="s">
        <v>393</v>
      </c>
      <c r="C271" s="13" t="s">
        <v>394</v>
      </c>
      <c r="D271" s="13" t="s">
        <v>98</v>
      </c>
      <c r="E271" s="13" t="s">
        <v>196</v>
      </c>
      <c r="F271" s="13" t="s">
        <v>196</v>
      </c>
      <c r="G271" s="12"/>
      <c r="H271" s="12"/>
      <c r="I271" s="12"/>
      <c r="J271" s="12"/>
      <c r="K271" s="19" t="s">
        <v>395</v>
      </c>
      <c r="L271" s="20"/>
    </row>
    <row r="272" spans="1:12" ht="18" customHeight="1">
      <c r="A272" s="12">
        <v>5</v>
      </c>
      <c r="B272" s="13" t="s">
        <v>169</v>
      </c>
      <c r="C272" s="13" t="s">
        <v>396</v>
      </c>
      <c r="D272" s="13" t="s">
        <v>104</v>
      </c>
      <c r="E272" s="13" t="s">
        <v>105</v>
      </c>
      <c r="F272" s="13" t="s">
        <v>105</v>
      </c>
      <c r="G272" s="12"/>
      <c r="H272" s="12"/>
      <c r="I272" s="12"/>
      <c r="J272" s="12"/>
      <c r="K272" s="19"/>
      <c r="L272" s="20"/>
    </row>
    <row r="273" spans="1:12" ht="18" customHeight="1">
      <c r="A273" s="12">
        <v>6</v>
      </c>
      <c r="B273" s="13" t="s">
        <v>341</v>
      </c>
      <c r="C273" s="13" t="s">
        <v>397</v>
      </c>
      <c r="D273" s="13" t="s">
        <v>110</v>
      </c>
      <c r="E273" s="13" t="s">
        <v>111</v>
      </c>
      <c r="F273" s="13" t="s">
        <v>111</v>
      </c>
      <c r="G273" s="12"/>
      <c r="H273" s="12"/>
      <c r="I273" s="12"/>
      <c r="J273" s="12"/>
      <c r="K273" s="19" t="s">
        <v>187</v>
      </c>
      <c r="L273" s="20"/>
    </row>
    <row r="274" spans="1:12" ht="18" customHeight="1">
      <c r="A274" s="12">
        <v>7</v>
      </c>
      <c r="B274" s="13" t="s">
        <v>192</v>
      </c>
      <c r="C274" s="13" t="s">
        <v>398</v>
      </c>
      <c r="D274" s="13" t="s">
        <v>106</v>
      </c>
      <c r="E274" s="13" t="s">
        <v>146</v>
      </c>
      <c r="F274" s="13" t="s">
        <v>146</v>
      </c>
      <c r="G274" s="12"/>
      <c r="H274" s="12"/>
      <c r="I274" s="12"/>
      <c r="J274" s="12"/>
      <c r="K274" s="19" t="s">
        <v>344</v>
      </c>
      <c r="L274" s="20"/>
    </row>
    <row r="275" spans="1:12" ht="15.75" customHeight="1">
      <c r="A275" s="21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 spans="1:12" ht="15.75" customHeight="1"/>
    <row r="277" spans="1:12" ht="15.75" customHeight="1"/>
    <row r="278" spans="1:12" ht="15.75" customHeight="1"/>
    <row r="279" spans="1:12" ht="15.75" customHeight="1"/>
    <row r="280" spans="1:12" ht="15.75" customHeight="1"/>
    <row r="281" spans="1:12" ht="15.75" customHeight="1"/>
    <row r="282" spans="1:12" ht="15.75" customHeight="1"/>
    <row r="283" spans="1:12" ht="15.75" customHeight="1"/>
    <row r="284" spans="1:12" ht="15.75" customHeight="1"/>
    <row r="285" spans="1:12" ht="15.75" customHeight="1"/>
    <row r="286" spans="1:12" ht="15.75" customHeight="1"/>
    <row r="287" spans="1:12" ht="15.75" customHeight="1"/>
    <row r="288" spans="1:1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K102:L102"/>
    <mergeCell ref="K103:L103"/>
    <mergeCell ref="K124:L124"/>
    <mergeCell ref="K125:L125"/>
    <mergeCell ref="K126:L126"/>
    <mergeCell ref="A127:L127"/>
    <mergeCell ref="C128:D128"/>
    <mergeCell ref="E128:F128"/>
    <mergeCell ref="G128:J128"/>
    <mergeCell ref="K95:L95"/>
    <mergeCell ref="K96:L96"/>
    <mergeCell ref="A97:L97"/>
    <mergeCell ref="C98:D98"/>
    <mergeCell ref="E98:F98"/>
    <mergeCell ref="G98:J98"/>
    <mergeCell ref="K99:L99"/>
    <mergeCell ref="K100:L100"/>
    <mergeCell ref="K101:L101"/>
    <mergeCell ref="K118:L118"/>
    <mergeCell ref="K119:L119"/>
    <mergeCell ref="K120:L120"/>
    <mergeCell ref="A121:L121"/>
    <mergeCell ref="C122:D122"/>
    <mergeCell ref="E122:F122"/>
    <mergeCell ref="G122:J122"/>
    <mergeCell ref="K123:L123"/>
    <mergeCell ref="K70:L70"/>
    <mergeCell ref="K71:L71"/>
    <mergeCell ref="K72:L72"/>
    <mergeCell ref="K73:L73"/>
    <mergeCell ref="K74:L74"/>
    <mergeCell ref="K75:L75"/>
    <mergeCell ref="A76:L76"/>
    <mergeCell ref="C77:D77"/>
    <mergeCell ref="E77:F77"/>
    <mergeCell ref="G77:J77"/>
    <mergeCell ref="K78:L78"/>
    <mergeCell ref="K79:L79"/>
    <mergeCell ref="K80:L80"/>
    <mergeCell ref="K81:L81"/>
    <mergeCell ref="K82:L82"/>
    <mergeCell ref="A83:L83"/>
    <mergeCell ref="C112:D112"/>
    <mergeCell ref="E112:F112"/>
    <mergeCell ref="G112:J112"/>
    <mergeCell ref="K113:L113"/>
    <mergeCell ref="K114:L114"/>
    <mergeCell ref="K115:L115"/>
    <mergeCell ref="A116:L116"/>
    <mergeCell ref="C117:D117"/>
    <mergeCell ref="E117:F117"/>
    <mergeCell ref="G117:J117"/>
    <mergeCell ref="A105:L105"/>
    <mergeCell ref="C106:D106"/>
    <mergeCell ref="E106:F106"/>
    <mergeCell ref="G106:J106"/>
    <mergeCell ref="K107:L107"/>
    <mergeCell ref="K108:L108"/>
    <mergeCell ref="K109:L109"/>
    <mergeCell ref="K110:L110"/>
    <mergeCell ref="A111:L111"/>
    <mergeCell ref="K42:L42"/>
    <mergeCell ref="C65:D65"/>
    <mergeCell ref="E65:F65"/>
    <mergeCell ref="G65:J65"/>
    <mergeCell ref="K66:L66"/>
    <mergeCell ref="K67:L67"/>
    <mergeCell ref="K68:L68"/>
    <mergeCell ref="K69:L69"/>
    <mergeCell ref="K104:L104"/>
    <mergeCell ref="C84:D84"/>
    <mergeCell ref="E84:F84"/>
    <mergeCell ref="G84:J84"/>
    <mergeCell ref="K85:L85"/>
    <mergeCell ref="K86:L86"/>
    <mergeCell ref="K87:L87"/>
    <mergeCell ref="K88:L88"/>
    <mergeCell ref="K89:L89"/>
    <mergeCell ref="A90:L90"/>
    <mergeCell ref="C91:D91"/>
    <mergeCell ref="E91:F91"/>
    <mergeCell ref="G91:J91"/>
    <mergeCell ref="K92:L92"/>
    <mergeCell ref="K93:L93"/>
    <mergeCell ref="K94:L94"/>
    <mergeCell ref="C34:L34"/>
    <mergeCell ref="A36:L36"/>
    <mergeCell ref="C37:D37"/>
    <mergeCell ref="E37:F37"/>
    <mergeCell ref="G37:J37"/>
    <mergeCell ref="K38:L38"/>
    <mergeCell ref="K39:L39"/>
    <mergeCell ref="K40:L40"/>
    <mergeCell ref="K41:L41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A64:L64"/>
    <mergeCell ref="A2:L2"/>
    <mergeCell ref="A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C57:D57"/>
    <mergeCell ref="E57:F57"/>
    <mergeCell ref="G57:J57"/>
    <mergeCell ref="K58:L58"/>
    <mergeCell ref="K59:L59"/>
    <mergeCell ref="K60:L60"/>
    <mergeCell ref="K61:L61"/>
    <mergeCell ref="K62:L62"/>
    <mergeCell ref="K63:L63"/>
    <mergeCell ref="A50:L50"/>
    <mergeCell ref="C51:D51"/>
    <mergeCell ref="E51:F51"/>
    <mergeCell ref="G51:J51"/>
    <mergeCell ref="K52:L52"/>
    <mergeCell ref="K53:L53"/>
    <mergeCell ref="K54:L54"/>
    <mergeCell ref="K55:L55"/>
    <mergeCell ref="A56:L56"/>
    <mergeCell ref="K43:L43"/>
    <mergeCell ref="A44:L44"/>
    <mergeCell ref="C45:D45"/>
    <mergeCell ref="E45:F45"/>
    <mergeCell ref="G45:J45"/>
    <mergeCell ref="K46:L46"/>
    <mergeCell ref="K47:L47"/>
    <mergeCell ref="K48:L48"/>
    <mergeCell ref="K49:L49"/>
    <mergeCell ref="K156:L156"/>
    <mergeCell ref="A157:L157"/>
    <mergeCell ref="C158:D158"/>
    <mergeCell ref="E158:F158"/>
    <mergeCell ref="G158:J158"/>
    <mergeCell ref="K159:L159"/>
    <mergeCell ref="K160:L160"/>
    <mergeCell ref="K161:L161"/>
    <mergeCell ref="K162:L162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39:L139"/>
    <mergeCell ref="K140:L140"/>
    <mergeCell ref="K141:L141"/>
    <mergeCell ref="K142:L142"/>
    <mergeCell ref="K143:L143"/>
    <mergeCell ref="K144:L144"/>
    <mergeCell ref="A145:L145"/>
    <mergeCell ref="C146:D146"/>
    <mergeCell ref="E146:F146"/>
    <mergeCell ref="G146:J146"/>
    <mergeCell ref="K136:L136"/>
    <mergeCell ref="A137:L137"/>
    <mergeCell ref="C138:D138"/>
    <mergeCell ref="E138:F138"/>
    <mergeCell ref="G138:J138"/>
    <mergeCell ref="K129:L129"/>
    <mergeCell ref="K130:L130"/>
    <mergeCell ref="K131:L131"/>
    <mergeCell ref="K132:L132"/>
    <mergeCell ref="K133:L133"/>
    <mergeCell ref="K134:L134"/>
    <mergeCell ref="K135:L135"/>
    <mergeCell ref="E257:F257"/>
    <mergeCell ref="G257:J257"/>
    <mergeCell ref="A265:L265"/>
    <mergeCell ref="C266:D266"/>
    <mergeCell ref="E266:F266"/>
    <mergeCell ref="G266:J266"/>
    <mergeCell ref="A275:L275"/>
    <mergeCell ref="G241:J241"/>
    <mergeCell ref="A247:L247"/>
    <mergeCell ref="C248:D248"/>
    <mergeCell ref="E248:F248"/>
    <mergeCell ref="G248:J248"/>
    <mergeCell ref="A256:L256"/>
    <mergeCell ref="C257:D257"/>
    <mergeCell ref="K255:L255"/>
    <mergeCell ref="K258:L258"/>
    <mergeCell ref="K259:L259"/>
    <mergeCell ref="K269:L269"/>
    <mergeCell ref="K270:L270"/>
    <mergeCell ref="K271:L271"/>
    <mergeCell ref="K272:L272"/>
    <mergeCell ref="K273:L273"/>
    <mergeCell ref="K274:L274"/>
    <mergeCell ref="K260:L260"/>
    <mergeCell ref="K261:L261"/>
    <mergeCell ref="K262:L262"/>
    <mergeCell ref="K263:L263"/>
    <mergeCell ref="K264:L264"/>
    <mergeCell ref="K267:L267"/>
    <mergeCell ref="K268:L268"/>
    <mergeCell ref="K244:L244"/>
    <mergeCell ref="K245:L245"/>
    <mergeCell ref="K246:L246"/>
    <mergeCell ref="K249:L249"/>
    <mergeCell ref="K250:L250"/>
    <mergeCell ref="K251:L251"/>
    <mergeCell ref="K252:L252"/>
    <mergeCell ref="K253:L253"/>
    <mergeCell ref="K254:L254"/>
    <mergeCell ref="K231:L231"/>
    <mergeCell ref="K232:L232"/>
    <mergeCell ref="K233:L233"/>
    <mergeCell ref="K236:L236"/>
    <mergeCell ref="K237:L237"/>
    <mergeCell ref="K238:L238"/>
    <mergeCell ref="K239:L239"/>
    <mergeCell ref="K242:L242"/>
    <mergeCell ref="K243:L243"/>
    <mergeCell ref="A234:L234"/>
    <mergeCell ref="C235:D235"/>
    <mergeCell ref="E235:F235"/>
    <mergeCell ref="G235:J235"/>
    <mergeCell ref="A240:L240"/>
    <mergeCell ref="C241:D241"/>
    <mergeCell ref="E241:F241"/>
    <mergeCell ref="K217:L217"/>
    <mergeCell ref="K218:L218"/>
    <mergeCell ref="K222:L222"/>
    <mergeCell ref="K225:L225"/>
    <mergeCell ref="K226:L226"/>
    <mergeCell ref="K227:L227"/>
    <mergeCell ref="K228:L228"/>
    <mergeCell ref="K229:L229"/>
    <mergeCell ref="K230:L230"/>
    <mergeCell ref="K219:L219"/>
    <mergeCell ref="K220:L220"/>
    <mergeCell ref="K221:L221"/>
    <mergeCell ref="A223:L223"/>
    <mergeCell ref="C224:D224"/>
    <mergeCell ref="E224:F224"/>
    <mergeCell ref="G224:J224"/>
    <mergeCell ref="K210:L210"/>
    <mergeCell ref="K211:L211"/>
    <mergeCell ref="K212:L212"/>
    <mergeCell ref="K213:L213"/>
    <mergeCell ref="K214:L214"/>
    <mergeCell ref="A215:L215"/>
    <mergeCell ref="C216:D216"/>
    <mergeCell ref="E216:F216"/>
    <mergeCell ref="G216:J216"/>
    <mergeCell ref="K203:L203"/>
    <mergeCell ref="K204:L204"/>
    <mergeCell ref="K205:L205"/>
    <mergeCell ref="K206:L206"/>
    <mergeCell ref="K207:L207"/>
    <mergeCell ref="A208:L208"/>
    <mergeCell ref="C209:D209"/>
    <mergeCell ref="E209:F209"/>
    <mergeCell ref="G209:J209"/>
    <mergeCell ref="K196:L196"/>
    <mergeCell ref="K197:L197"/>
    <mergeCell ref="A198:L198"/>
    <mergeCell ref="C199:D199"/>
    <mergeCell ref="E199:F199"/>
    <mergeCell ref="G199:J199"/>
    <mergeCell ref="K200:L200"/>
    <mergeCell ref="K201:L201"/>
    <mergeCell ref="K202:L202"/>
    <mergeCell ref="K189:L189"/>
    <mergeCell ref="A190:L190"/>
    <mergeCell ref="C191:D191"/>
    <mergeCell ref="E191:F191"/>
    <mergeCell ref="G191:J191"/>
    <mergeCell ref="K192:L192"/>
    <mergeCell ref="K193:L193"/>
    <mergeCell ref="K194:L194"/>
    <mergeCell ref="K195:L195"/>
    <mergeCell ref="K170:L170"/>
    <mergeCell ref="K171:L171"/>
    <mergeCell ref="K172:L172"/>
    <mergeCell ref="K173:L173"/>
    <mergeCell ref="A174:L174"/>
    <mergeCell ref="K185:L185"/>
    <mergeCell ref="K186:L186"/>
    <mergeCell ref="K187:L187"/>
    <mergeCell ref="K188:L188"/>
    <mergeCell ref="C175:D175"/>
    <mergeCell ref="E175:F175"/>
    <mergeCell ref="G175:J175"/>
    <mergeCell ref="K176:L176"/>
    <mergeCell ref="K177:L177"/>
    <mergeCell ref="K178:L178"/>
    <mergeCell ref="K179:L179"/>
    <mergeCell ref="K180:L180"/>
    <mergeCell ref="A181:L181"/>
    <mergeCell ref="C182:D182"/>
    <mergeCell ref="E182:F182"/>
    <mergeCell ref="G182:J182"/>
    <mergeCell ref="K183:L183"/>
    <mergeCell ref="K184:L184"/>
    <mergeCell ref="K163:L163"/>
    <mergeCell ref="A164:L164"/>
    <mergeCell ref="C165:D165"/>
    <mergeCell ref="E165:F165"/>
    <mergeCell ref="G165:J165"/>
    <mergeCell ref="K166:L166"/>
    <mergeCell ref="K167:L167"/>
    <mergeCell ref="K168:L168"/>
    <mergeCell ref="K169:L169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Palacio</cp:lastModifiedBy>
  <dcterms:created xsi:type="dcterms:W3CDTF">2026-04-10T00:47:35Z</dcterms:created>
  <dcterms:modified xsi:type="dcterms:W3CDTF">2026-04-12T03:41:46Z</dcterms:modified>
</cp:coreProperties>
</file>